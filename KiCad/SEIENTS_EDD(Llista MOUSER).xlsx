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kar\OneDrive\Documentos\PROJECTE_D_EDD\edd-project-grup-dijous-dj_d_seients\KiCad\"/>
    </mc:Choice>
  </mc:AlternateContent>
  <xr:revisionPtr revIDLastSave="0" documentId="13_ncr:1_{6E503FE4-1B5C-441B-80BB-04A631BA8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0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3" i="1"/>
  <c r="K4" i="1"/>
  <c r="K5" i="1"/>
  <c r="K2" i="1"/>
</calcChain>
</file>

<file path=xl/sharedStrings.xml><?xml version="1.0" encoding="utf-8"?>
<sst xmlns="http://schemas.openxmlformats.org/spreadsheetml/2006/main" count="786" uniqueCount="351">
  <si>
    <t>Lead Time in Days</t>
  </si>
  <si>
    <t>Datasheet URL</t>
  </si>
  <si>
    <t>Design Risk</t>
  </si>
  <si>
    <t/>
  </si>
  <si>
    <t>0,378 €</t>
  </si>
  <si>
    <t>C0805X106K9RACAUTO</t>
  </si>
  <si>
    <t>581-08052C223M4Z2A</t>
  </si>
  <si>
    <t>SMAJ12A</t>
  </si>
  <si>
    <t>AMMO PACK</t>
  </si>
  <si>
    <t>PIC24HJ64GP504-I/PT</t>
  </si>
  <si>
    <t>4.295</t>
  </si>
  <si>
    <t>https://www.ti.com/lit/gpn/lm1117</t>
  </si>
  <si>
    <t>Switching Voltage Regulators Switching Voltage Regulators 150 KHZ 3A STEP-DOWN VLTG REG A 926-LM25 A 926-LM2596SX-5.0NOPB</t>
  </si>
  <si>
    <t>SKRKAGE020</t>
  </si>
  <si>
    <t>Thick Film Resistors - SMD Thick Film Resistors - SMD ResHighPower 0805 120R 1% 1/2W TC100</t>
  </si>
  <si>
    <t>26</t>
  </si>
  <si>
    <t>https://www.mouser.com/datasheet/3/70/1/Infineon_IRLZ44N_DataSheet_v01_01_EN.pdf</t>
  </si>
  <si>
    <t>810-FG24X7R2A104KNT0</t>
  </si>
  <si>
    <t>Multilayer Ceramic Capacitors MLCC - Leaded Multilayer Ceramic Capacitors MLCC - Leaded RAD 100V 0.1uF X7R 10% LS:5mm</t>
  </si>
  <si>
    <t>105</t>
  </si>
  <si>
    <t>15</t>
  </si>
  <si>
    <t>https://www.vishay.com/doc?45171</t>
  </si>
  <si>
    <t>156.811</t>
  </si>
  <si>
    <t>112</t>
  </si>
  <si>
    <t>130</t>
  </si>
  <si>
    <t>84</t>
  </si>
  <si>
    <t>Product has high popularity and is readily available.</t>
  </si>
  <si>
    <t>2.000</t>
  </si>
  <si>
    <t>19</t>
  </si>
  <si>
    <t>821-1N5822</t>
  </si>
  <si>
    <t>Cree LED</t>
  </si>
  <si>
    <t>Schottky Diodes &amp; Rectifiers Schottky Diodes &amp; Rectifiers 1A, 40V, Schottky Rectifier</t>
  </si>
  <si>
    <t>Crystals Crystals 8MHz 16pF -10C 60C</t>
  </si>
  <si>
    <t>5,74 €</t>
  </si>
  <si>
    <t>836</t>
  </si>
  <si>
    <t>490</t>
  </si>
  <si>
    <t>579-24LC256-E/MS</t>
  </si>
  <si>
    <t>757-TB6612FNGC8EL</t>
  </si>
  <si>
    <t>0,454 €</t>
  </si>
  <si>
    <t>YAGEO</t>
  </si>
  <si>
    <t>0,198 €</t>
  </si>
  <si>
    <t>134</t>
  </si>
  <si>
    <t>250</t>
  </si>
  <si>
    <t>NFD17E09PA4E1DA</t>
  </si>
  <si>
    <t>523-NFD17E09PA4E1DA</t>
  </si>
  <si>
    <t>2.106</t>
  </si>
  <si>
    <t>Mfr Part Number</t>
  </si>
  <si>
    <t>Pb Free</t>
  </si>
  <si>
    <t>40.051</t>
  </si>
  <si>
    <t>581-08053F224K4T2A</t>
  </si>
  <si>
    <t>7.500</t>
  </si>
  <si>
    <t>Schottky Diodes &amp; Rectifiers Schottky Diodes &amp; Rectifiers 3A, 40V, Schottky Rectifier</t>
  </si>
  <si>
    <t>821-1N5819</t>
  </si>
  <si>
    <t>10.220</t>
  </si>
  <si>
    <t>1.000</t>
  </si>
  <si>
    <t>Microchip</t>
  </si>
  <si>
    <t>24LC256-E/MS</t>
  </si>
  <si>
    <t>https://www.ti.com/lit/gpn/tmp102-q1</t>
  </si>
  <si>
    <t>2.717</t>
  </si>
  <si>
    <t>Product has moderate popularity and is readily available.</t>
  </si>
  <si>
    <t>Bourns</t>
  </si>
  <si>
    <t>0,096 €</t>
  </si>
  <si>
    <t>SDR10EZPF1001</t>
  </si>
  <si>
    <t>54.340</t>
  </si>
  <si>
    <t>https://www.mouser.com/datasheet/3/507/7/phoenix_contact_1715721_en.pdf</t>
  </si>
  <si>
    <t>https://www.mouser.com/datasheet/3/507/7/phoenix_contact_1988587_en.pdf</t>
  </si>
  <si>
    <t>KAF21BR71H104JM</t>
  </si>
  <si>
    <t>15.000</t>
  </si>
  <si>
    <t>KEMET</t>
  </si>
  <si>
    <t>https://www.mouser.com/datasheet/3/72/1/C0805X106K9RACAUTO.pdf</t>
  </si>
  <si>
    <t>Taiwan Semiconductor</t>
  </si>
  <si>
    <t>7</t>
  </si>
  <si>
    <t>579-MCP2562-E/SN</t>
  </si>
  <si>
    <t>926-LM1117DT-3.3NOPB</t>
  </si>
  <si>
    <t>0,086 €</t>
  </si>
  <si>
    <t>738.983</t>
  </si>
  <si>
    <t>Allegro MicroSystems</t>
  </si>
  <si>
    <t>594-K104K15X7RF53L2</t>
  </si>
  <si>
    <t>1,12 €</t>
  </si>
  <si>
    <t>7.624</t>
  </si>
  <si>
    <t>3</t>
  </si>
  <si>
    <t>NCNR</t>
  </si>
  <si>
    <t>Package Type</t>
  </si>
  <si>
    <t>KYOCERA AVX</t>
  </si>
  <si>
    <t>0,078 €</t>
  </si>
  <si>
    <t>1/1</t>
  </si>
  <si>
    <t>12</t>
  </si>
  <si>
    <t>https://datasheets.kyocera-avx.com/AutoMLCC.pdf</t>
  </si>
  <si>
    <t>0,344 €</t>
  </si>
  <si>
    <t>0,258 €</t>
  </si>
  <si>
    <t>449-LFXTAL029665REEL</t>
  </si>
  <si>
    <t>IQD Frequency Products</t>
  </si>
  <si>
    <t>DRV8871DDAR</t>
  </si>
  <si>
    <t>1,04 €</t>
  </si>
  <si>
    <t>23</t>
  </si>
  <si>
    <t>MCP2562-E/SN</t>
  </si>
  <si>
    <t>600</t>
  </si>
  <si>
    <t>6.002</t>
  </si>
  <si>
    <t>800</t>
  </si>
  <si>
    <t>Fuse Holder Fuse Holder OGN Fuseholder 5x20</t>
  </si>
  <si>
    <t>Molex</t>
  </si>
  <si>
    <t>16</t>
  </si>
  <si>
    <t>5747844-4</t>
  </si>
  <si>
    <t>Mouser Part Number</t>
  </si>
  <si>
    <t>Yes</t>
  </si>
  <si>
    <t>Multilayer Ceramic Capacitors MLCC - SMD/SMT Multilayer Ceramic Capacitors MLCC - SMD/SMT PN CHANGE NEW PN KAF21KR72D223MU SEE ATTACHED DOCUMENT</t>
  </si>
  <si>
    <t>9.283</t>
  </si>
  <si>
    <t>56</t>
  </si>
  <si>
    <t>30.931</t>
  </si>
  <si>
    <t>https://downloads.cree-led.com/files/ds/h/HB-C556E.pdf</t>
  </si>
  <si>
    <t>2.830</t>
  </si>
  <si>
    <t>49</t>
  </si>
  <si>
    <t>TRAY</t>
  </si>
  <si>
    <t>160</t>
  </si>
  <si>
    <t>Analog Devices Inc.</t>
  </si>
  <si>
    <t>9,15 €</t>
  </si>
  <si>
    <t>70</t>
  </si>
  <si>
    <t>EEPROM EEPROM 32kx8 - 2.5V</t>
  </si>
  <si>
    <t>662</t>
  </si>
  <si>
    <t>9.236</t>
  </si>
  <si>
    <t>45</t>
  </si>
  <si>
    <t>667-ERJ-S06F1002V</t>
  </si>
  <si>
    <t>9.261</t>
  </si>
  <si>
    <t>63</t>
  </si>
  <si>
    <t>IRLZ44NPBF</t>
  </si>
  <si>
    <t>182</t>
  </si>
  <si>
    <t>542-70F101-RC</t>
  </si>
  <si>
    <t>4,68 €</t>
  </si>
  <si>
    <t>https://www.allegromicro.com/~/media/files/datasheets/a110x-datasheet.pdf</t>
  </si>
  <si>
    <t>K104K15X7RF53L2</t>
  </si>
  <si>
    <t>810-FG18X7R1H104KNT0</t>
  </si>
  <si>
    <t>https://www.molex.com/en-us/products/part-detail-pdf/22232021?display=pdf</t>
  </si>
  <si>
    <t>Fixed Terminal Blocks Fixed Terminal Blocks MKDS 1.5/ 2-5.08-RD</t>
  </si>
  <si>
    <t>Order Unit Price (EUR)</t>
  </si>
  <si>
    <t>Product Image</t>
  </si>
  <si>
    <t>ESD Protection Diodes / TVS Diodes ESD Protection Diodes / TVS Diodes 400W, 14V, 5%, Unidirectional, TVS</t>
  </si>
  <si>
    <t>2,35 €</t>
  </si>
  <si>
    <t>5.955</t>
  </si>
  <si>
    <t>ATTINY1616-MZ-VAO</t>
  </si>
  <si>
    <t>8-bit Microcontrollers - MCU 8-bit Microcontrollers - MCU 16MHz, 16KB, QFN20 Wettable flanks, Auto 125C, Green, Tray</t>
  </si>
  <si>
    <t>CAN Interface IC CAN Interface IC CAN Tranceiver</t>
  </si>
  <si>
    <t>ERJ-6RQJ3R6V</t>
  </si>
  <si>
    <t>652-CHP0805FX1200ELF</t>
  </si>
  <si>
    <t>https://www.rohm.com/datasheet?p=SDR10EZPF&amp;dist=Mouser&amp;media=referral&amp;source=mouser.com&amp;campaign=Mouser</t>
  </si>
  <si>
    <t>942-IRLZ44NPBF</t>
  </si>
  <si>
    <t>MOSFETs MOSFETs MOSFT 55V 47A 22mOhm 32nC LogLvlAB</t>
  </si>
  <si>
    <t>47.229</t>
  </si>
  <si>
    <t>Board Mount Hall Effect / Magnetic Sensors Board Mount Hall Effect / Magnetic Sensors CONTINUOUS TIME HALL-EFFECT SWITCH</t>
  </si>
  <si>
    <t>168</t>
  </si>
  <si>
    <t>0,146 €</t>
  </si>
  <si>
    <t>651-1715750</t>
  </si>
  <si>
    <t>Phoenix Contact</t>
  </si>
  <si>
    <t>2,39 €</t>
  </si>
  <si>
    <t>651-1715721</t>
  </si>
  <si>
    <t>651-1988587</t>
  </si>
  <si>
    <t>Min./Mult.</t>
  </si>
  <si>
    <t>Availability</t>
  </si>
  <si>
    <t>Lifecycle</t>
  </si>
  <si>
    <t>Multilayer Ceramic Capacitors MLCC - SMD/SMT Multilayer Ceramic Capacitors MLCC - SMD/SMT PN CHANGE NEW PN KAM21AR81E224KU SEE ATTACHED DOCUMENT</t>
  </si>
  <si>
    <t>Product is new and is readily available.</t>
  </si>
  <si>
    <t>0,224 €</t>
  </si>
  <si>
    <t>8</t>
  </si>
  <si>
    <t>4</t>
  </si>
  <si>
    <t>TUBE</t>
  </si>
  <si>
    <t>TB6612FNG,C,8,EL</t>
  </si>
  <si>
    <t>1,57 €</t>
  </si>
  <si>
    <t>7.534</t>
  </si>
  <si>
    <t>5,99 €</t>
  </si>
  <si>
    <t>667-ERJ-6RQJ3R6V</t>
  </si>
  <si>
    <t>RC0805FR-074K7L</t>
  </si>
  <si>
    <t>https://www.mouser.com/catalog/specsheets/YAGEO_PYu_RC_Group_51_RoHS_L_12.pdf</t>
  </si>
  <si>
    <t>4.453</t>
  </si>
  <si>
    <t>FG24X7R2A104KNT00</t>
  </si>
  <si>
    <t>TDK</t>
  </si>
  <si>
    <t>Fixed Terminal Blocks Fixed Terminal Blocks MKDS 1.5/ 5-5.08</t>
  </si>
  <si>
    <t>Mouser Part Number (Input)</t>
  </si>
  <si>
    <t>Manufacturer Name</t>
  </si>
  <si>
    <t>Multilayer Ceramic Capacitors MLCC - SMD/SMT Multilayer Ceramic Capacitors MLCC - SMD/SMT Automotive 0805, 100nF, 5%, X7R, 50V</t>
  </si>
  <si>
    <t>https://www.mouser.com/datasheet/3/5926/1/HighTempX8RX8L.pdf</t>
  </si>
  <si>
    <t>New Product</t>
  </si>
  <si>
    <t>https://www.taiwansemi.com/assets/datasheet/pdf.php?pn=1N5822</t>
  </si>
  <si>
    <t>941-C566EAFECV34Q342</t>
  </si>
  <si>
    <t>https://www.mouser.com/datasheet/3/1460/1/LFXTAL029665B.pdf</t>
  </si>
  <si>
    <t>Motor / Motion / Ignition Controllers &amp; Drivers Motor / Motion / Ignition Controllers &amp; Drivers 50-V 3.6-A H-bridge motor driver with i A 595-DRV8871DDA</t>
  </si>
  <si>
    <t>Toshiba</t>
  </si>
  <si>
    <t>24</t>
  </si>
  <si>
    <t>LM1117DT-3.3/NOPB</t>
  </si>
  <si>
    <t>1,47 €</t>
  </si>
  <si>
    <t>Tactile Switches Tactile Switches 3.9X2.9X1.5mm 160gf</t>
  </si>
  <si>
    <t>8.898</t>
  </si>
  <si>
    <t>70F101AF-RC</t>
  </si>
  <si>
    <t>RF Inductors - Leaded RF Inductors - Leaded 100mH 5%</t>
  </si>
  <si>
    <t>693-0031.8201.G</t>
  </si>
  <si>
    <t>https://us.schurter.com/en/datasheet/typ_OGN.pdf</t>
  </si>
  <si>
    <t>22-23-2021</t>
  </si>
  <si>
    <t>230</t>
  </si>
  <si>
    <t>20</t>
  </si>
  <si>
    <t>D-Sub Standard Connectors D-Sub Standard Connectors D SUB STAMPED PIN MINIATURE MA</t>
  </si>
  <si>
    <t>Unit Price 1 (EUR)</t>
  </si>
  <si>
    <t>Price 3 (EUR)</t>
  </si>
  <si>
    <t>Lead Time in Weeks</t>
  </si>
  <si>
    <t>245</t>
  </si>
  <si>
    <t>35</t>
  </si>
  <si>
    <t>2.500</t>
  </si>
  <si>
    <t>821-SMAJ12AM2G</t>
  </si>
  <si>
    <t>https://www.taiwansemi.com/assets/datasheet/pdf.php?pn=SMAJ12A</t>
  </si>
  <si>
    <t>28</t>
  </si>
  <si>
    <t>https://www.taiwansemi.com/assets/datasheet/pdf.php?pn=1N5819</t>
  </si>
  <si>
    <t>700-MAX3232CPE</t>
  </si>
  <si>
    <t>RS-232 Interface IC RS-232 Interface IC 3.0V to 5.5V, Low-Power, up to 1Mbps, Tr</t>
  </si>
  <si>
    <t>https://www.ti.com/lit/gpn/drv8871-q1</t>
  </si>
  <si>
    <t>670</t>
  </si>
  <si>
    <t>https://www.mouser.com/datasheet/3/282/1/24AA256_24LC256_24FC256_256K_I2C_Serial_EEPROM_DS20001203.pdf</t>
  </si>
  <si>
    <t>161</t>
  </si>
  <si>
    <t>75</t>
  </si>
  <si>
    <t>ERJ-S06F1002V</t>
  </si>
  <si>
    <t>755-SDR10EZPF1001</t>
  </si>
  <si>
    <t>463</t>
  </si>
  <si>
    <t>https://product.tdk.com/system/files/dam/doc/product/capacitor/ceramic/lead-mlcc/catalog/leadmlcc_halogenfree_fg_en.pdf?ref_disty=mouser</t>
  </si>
  <si>
    <t>22.016</t>
  </si>
  <si>
    <t>538-22-23-2021</t>
  </si>
  <si>
    <t>17.100</t>
  </si>
  <si>
    <t>571-5747844-4</t>
  </si>
  <si>
    <t>TE Connectivity</t>
  </si>
  <si>
    <t>Description</t>
  </si>
  <si>
    <t>Order Quantity</t>
  </si>
  <si>
    <t>Package Quantity</t>
  </si>
  <si>
    <t>REEL</t>
  </si>
  <si>
    <t>New at Mouser</t>
  </si>
  <si>
    <t>1</t>
  </si>
  <si>
    <t>9.768</t>
  </si>
  <si>
    <t>MAX3232</t>
  </si>
  <si>
    <t>Alps Alpine</t>
  </si>
  <si>
    <t>Thick Film Resistors - SMD Thick Film Resistors - SMD Anti-Surge Chip Resistor, 2012mm 400V 0.66W +/-1%, 1,000 Ohm</t>
  </si>
  <si>
    <t>0,189 €</t>
  </si>
  <si>
    <t>https://www.mouser.com/datasheet/3/40/1/70f_series.pdf</t>
  </si>
  <si>
    <t>A1104EUA-T</t>
  </si>
  <si>
    <t>0,206 €</t>
  </si>
  <si>
    <t>Multilayer Ceramic Capacitors MLCC - Leaded Multilayer Ceramic Capacitors MLCC - Leaded RAD 50V 0.1uF X7R 10% LS:2.5mm</t>
  </si>
  <si>
    <t>Schurter</t>
  </si>
  <si>
    <t>97</t>
  </si>
  <si>
    <t>Headers &amp; Wire Housings Headers &amp; Wire Housings VERT PCB HDR 2P TIN FRICTION LOCK</t>
  </si>
  <si>
    <t>D-Sub Standard Connectors D-Sub Standard Connectors RECP FRNT MTL SHL 9P</t>
  </si>
  <si>
    <t>https://cdn.amphenol-cs.com/media/wysiwyg/files/drawing/p-nfd17-xxxpa-4e1d-a.pdf</t>
  </si>
  <si>
    <t>80-C0805X106K9RAUTO</t>
  </si>
  <si>
    <t>0,774 €</t>
  </si>
  <si>
    <t>10.455</t>
  </si>
  <si>
    <t>0,525 €</t>
  </si>
  <si>
    <t>C566E-AFE-CV34Q342</t>
  </si>
  <si>
    <t>579-PIC24H64GP504IPT</t>
  </si>
  <si>
    <t>Current Sense Resistors - SMD Current Sense Resistors - SMD 0805 3.6ohm 5% Curr Sense AEC-Q200</t>
  </si>
  <si>
    <t>4.316</t>
  </si>
  <si>
    <t>https://industrial.panasonic.com/cdbs/www-data/pdf/RDO0000/RDO0000C334.pdf</t>
  </si>
  <si>
    <t>https://www.mouser.com/datasheet/3/40/1/chp.pdf</t>
  </si>
  <si>
    <t>0,267 €</t>
  </si>
  <si>
    <t>9</t>
  </si>
  <si>
    <t>Multilayer Ceramic Capacitors MLCC - Leaded Multilayer Ceramic Capacitors MLCC - Leaded 0.1uF 50volts 10% X7R 2.5mm LS</t>
  </si>
  <si>
    <t>https://www.mouser.com/datasheet/3/507/10/phoenix_contact_1715750_en.pdf</t>
  </si>
  <si>
    <t>https://www.te.com/commerce/DocumentDelivery/DDEController?Action=srchrtrv&amp;DocNm=82068_AMPLIMITE_Right-Angle_Posted_Conn&amp;DocType=Catalog Section&amp;DocLang=English&amp;PartCntxt=5747844-4&amp;DocFormat=pdf</t>
  </si>
  <si>
    <t>Amphenol</t>
  </si>
  <si>
    <t>Price 5 (EUR)</t>
  </si>
  <si>
    <t>RoHS</t>
  </si>
  <si>
    <t>21</t>
  </si>
  <si>
    <t>3.218</t>
  </si>
  <si>
    <t>Multilayer Ceramic Capacitors MLCC - SMD/SMT Multilayer Ceramic Capacitors MLCC - SMD/SMT 6.3 V 10 uF 0805 X7R 10 % AECQ200</t>
  </si>
  <si>
    <t>1N5822</t>
  </si>
  <si>
    <t>0,163 €</t>
  </si>
  <si>
    <t>10</t>
  </si>
  <si>
    <t>MAX3232CPE+</t>
  </si>
  <si>
    <t>25</t>
  </si>
  <si>
    <t>100</t>
  </si>
  <si>
    <t>1,01 €</t>
  </si>
  <si>
    <t>LDO Voltage Regulators LDO Voltage Regulators 800MA LDO LINEAR REG A 926-LM1117DTX3.3N A 926-LM1117DTX3.3NOPB</t>
  </si>
  <si>
    <t>32</t>
  </si>
  <si>
    <t>https://www.alps.com/prod/info/E/PDF/Tact/SurfaceMount/SKRK/SKRK.pdf</t>
  </si>
  <si>
    <t>0,37 €</t>
  </si>
  <si>
    <t>CHP0805-FX-1200ELF</t>
  </si>
  <si>
    <t>14</t>
  </si>
  <si>
    <t>603-RC0805FR-074K7L</t>
  </si>
  <si>
    <t>ROHM Semiconductor</t>
  </si>
  <si>
    <t>500</t>
  </si>
  <si>
    <t>43</t>
  </si>
  <si>
    <t>50</t>
  </si>
  <si>
    <t>133</t>
  </si>
  <si>
    <t>3.149</t>
  </si>
  <si>
    <t>Single Color LEDs Single Color LEDs</t>
  </si>
  <si>
    <t>1N5819</t>
  </si>
  <si>
    <t>5.000</t>
  </si>
  <si>
    <t>69</t>
  </si>
  <si>
    <t>Texas Instruments</t>
  </si>
  <si>
    <t>ATTINY1616-M</t>
  </si>
  <si>
    <t>https://ww1.microchip.com/downloads/aemDocuments/documents/OTH/ProductDocuments/DataSheets/ATtiny1614-1616-1617-Auto-DataSheet-DS40002021C.pdf</t>
  </si>
  <si>
    <t>TMP102AQDRLRQ1</t>
  </si>
  <si>
    <t>595-TMP102AQDRLRQ1</t>
  </si>
  <si>
    <t>126</t>
  </si>
  <si>
    <t>18</t>
  </si>
  <si>
    <t>LM2596S-5.0/NOPB</t>
  </si>
  <si>
    <t>https://www.ti.com/lit/gpn/lm2596</t>
  </si>
  <si>
    <t>239</t>
  </si>
  <si>
    <t>224</t>
  </si>
  <si>
    <t>Infineon</t>
  </si>
  <si>
    <t>BULK</t>
  </si>
  <si>
    <t>0031.8201.G</t>
  </si>
  <si>
    <t>1715721</t>
  </si>
  <si>
    <t>1988587</t>
  </si>
  <si>
    <t>0,92 €</t>
  </si>
  <si>
    <t>61</t>
  </si>
  <si>
    <t>2</t>
  </si>
  <si>
    <t>08052C223M4Z2A</t>
  </si>
  <si>
    <t>LFXTAL029665Reel</t>
  </si>
  <si>
    <t>16-bit Microcontrollers - MCU 16-bit Microcontrollers - MCU 16B MCU 64KB DMA 40MIPS</t>
  </si>
  <si>
    <t>https://www.mouser.com/datasheet/3/282/1/70293G.pdf</t>
  </si>
  <si>
    <t>595-DRV8871DDAR</t>
  </si>
  <si>
    <t>579-ATTINY1616MZVAO</t>
  </si>
  <si>
    <t>0,86 €</t>
  </si>
  <si>
    <t>24LC256</t>
  </si>
  <si>
    <t>https://www.mouser.com/datasheet/3/1466/1/216DCAEB880587735ABECF157C737FDE2A898DFC34EBA4541BB25F243D84D2B0.pdf</t>
  </si>
  <si>
    <t>4.000</t>
  </si>
  <si>
    <t>https://www.mouser.com/datasheet/3/282/1/20005167C.pdf</t>
  </si>
  <si>
    <t>926-LM2596S-5.0/NOPB</t>
  </si>
  <si>
    <t>98</t>
  </si>
  <si>
    <t>Thick Film Resistors - SMD Thick Film Resistors - SMD 0805 10Kohms 1% Anti-Sulfur</t>
  </si>
  <si>
    <t>0,327 €</t>
  </si>
  <si>
    <t>1715750</t>
  </si>
  <si>
    <t>Fixed Terminal Blocks Fixed Terminal Blocks 2P 5.08mm 90DEG</t>
  </si>
  <si>
    <t>Price 2 (EUR)</t>
  </si>
  <si>
    <t>581-KAF21BR71H104JM</t>
  </si>
  <si>
    <t>No</t>
  </si>
  <si>
    <t>https://www.mouser.com/datasheet/3/5926/1/AutoMLCCKAF.pdf</t>
  </si>
  <si>
    <t>08053F224K4T2A</t>
  </si>
  <si>
    <t>1.250</t>
  </si>
  <si>
    <t>3.000</t>
  </si>
  <si>
    <t>0,568 €</t>
  </si>
  <si>
    <t>4.055</t>
  </si>
  <si>
    <t>https://www.mouser.com/datasheet/3/1014/1/MAX3222-MAX3241.pdf</t>
  </si>
  <si>
    <t>Motor / Motion / Ignition Controllers &amp; Drivers Motor / Motion / Ignition Controllers &amp; Drivers Brush Motor Driver IC</t>
  </si>
  <si>
    <t>Board Mount Temperature Sensors Board Mount Temperature Sensors Automotive Grade Dig Temperatu Sensor</t>
  </si>
  <si>
    <t>688-SKRKAG</t>
  </si>
  <si>
    <t>Panasonic</t>
  </si>
  <si>
    <t>Thick Film Resistors - SMD Thick Film Resistors - SMD General Purpose Chip Resistor 0805, 4.7kOhms, 1%, 1/8W</t>
  </si>
  <si>
    <t>1,52 €</t>
  </si>
  <si>
    <t>250-A1104EUA-T</t>
  </si>
  <si>
    <t>Vishay</t>
  </si>
  <si>
    <t>FG18X7R1H104KNT00</t>
  </si>
  <si>
    <t>0,912 €</t>
  </si>
  <si>
    <t>5.368</t>
  </si>
  <si>
    <t>2,26 €</t>
  </si>
  <si>
    <t>2,91 €</t>
  </si>
  <si>
    <t>1.381</t>
  </si>
  <si>
    <t>TOTAL DE COSTOS</t>
  </si>
  <si>
    <t>Price by Order Unit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</si>
</sst>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</xdr:row>
      <xdr:rowOff>0</xdr:rowOff>
    </xdr:from>
    <xdr:to>
      <xdr:col>23</xdr:col>
      <xdr:colOff>762000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26572" y="18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23</xdr:col>
      <xdr:colOff>762000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26572" y="95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762000</xdr:colOff>
      <xdr:row>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26572" y="171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23</xdr:col>
      <xdr:colOff>762000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26572" y="247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23</xdr:col>
      <xdr:colOff>762000</xdr:colOff>
      <xdr:row>6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26572" y="323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762000</xdr:colOff>
      <xdr:row>7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226572" y="399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762000</xdr:colOff>
      <xdr:row>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226572" y="476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762000</xdr:colOff>
      <xdr:row>9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226572" y="552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762000</xdr:colOff>
      <xdr:row>10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226572" y="628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762000</xdr:colOff>
      <xdr:row>11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226572" y="704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762000</xdr:colOff>
      <xdr:row>12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226572" y="780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762000</xdr:colOff>
      <xdr:row>13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226572" y="857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762000</xdr:colOff>
      <xdr:row>14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226572" y="933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23</xdr:col>
      <xdr:colOff>762000</xdr:colOff>
      <xdr:row>15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226572" y="1009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762000</xdr:colOff>
      <xdr:row>16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226572" y="1085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762000</xdr:colOff>
      <xdr:row>17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226572" y="1161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762000</xdr:colOff>
      <xdr:row>18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4226572" y="1238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762000</xdr:colOff>
      <xdr:row>19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226572" y="1314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762000</xdr:colOff>
      <xdr:row>20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226572" y="1390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762000</xdr:colOff>
      <xdr:row>21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226572" y="1466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762000</xdr:colOff>
      <xdr:row>22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226572" y="1542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762000</xdr:colOff>
      <xdr:row>23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4226572" y="1619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762000</xdr:colOff>
      <xdr:row>24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4226572" y="1695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762000</xdr:colOff>
      <xdr:row>25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226572" y="1771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762000</xdr:colOff>
      <xdr:row>26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4226572" y="1847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762000</xdr:colOff>
      <xdr:row>27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4226572" y="1923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762000</xdr:colOff>
      <xdr:row>28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4226572" y="2000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762000</xdr:colOff>
      <xdr:row>29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4226572" y="2076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762000</xdr:colOff>
      <xdr:row>30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4226572" y="2152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762000</xdr:colOff>
      <xdr:row>31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4226572" y="2228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762000</xdr:colOff>
      <xdr:row>32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4226572" y="2304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762000</xdr:colOff>
      <xdr:row>33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4226572" y="2381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762000</xdr:colOff>
      <xdr:row>34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4226572" y="2457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762000</xdr:colOff>
      <xdr:row>35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226572" y="2533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762000</xdr:colOff>
      <xdr:row>36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226572" y="2609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36</xdr:row>
      <xdr:rowOff>0</xdr:rowOff>
    </xdr:from>
    <xdr:to>
      <xdr:col>23</xdr:col>
      <xdr:colOff>762000</xdr:colOff>
      <xdr:row>37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4226572" y="2685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762000</xdr:colOff>
      <xdr:row>38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4226572" y="2762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0</xdr:colOff>
      <xdr:row>38</xdr:row>
      <xdr:rowOff>0</xdr:rowOff>
    </xdr:from>
    <xdr:to>
      <xdr:col>23</xdr:col>
      <xdr:colOff>762000</xdr:colOff>
      <xdr:row>39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4226572" y="2838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topLeftCell="F33" zoomScale="91" zoomScaleNormal="91" workbookViewId="0">
      <selection activeCell="K1" sqref="K1"/>
    </sheetView>
  </sheetViews>
  <sheetFormatPr baseColWidth="10" defaultColWidth="8.88671875" defaultRowHeight="14.4" x14ac:dyDescent="0.3"/>
  <cols>
    <col min="1" max="1" width="23.88671875" bestFit="1" customWidth="1"/>
    <col min="2" max="2" width="20" bestFit="1" customWidth="1"/>
    <col min="3" max="3" width="21.33203125" bestFit="1" customWidth="1"/>
    <col min="4" max="4" width="20.44140625" bestFit="1" customWidth="1"/>
    <col min="5" max="5" width="135.6640625" bestFit="1" customWidth="1"/>
    <col min="6" max="6" width="15.21875" bestFit="1" customWidth="1"/>
    <col min="7" max="8" width="11.33203125" bestFit="1" customWidth="1"/>
    <col min="9" max="9" width="13.109375" bestFit="1" customWidth="1"/>
    <col min="10" max="10" width="18.88671875" bestFit="1" customWidth="1"/>
    <col min="11" max="12" width="11.33203125" bestFit="1" customWidth="1"/>
    <col min="13" max="14" width="9.77734375" bestFit="1" customWidth="1"/>
    <col min="15" max="15" width="15.44140625" bestFit="1" customWidth="1"/>
    <col min="16" max="16" width="17" bestFit="1" customWidth="1"/>
    <col min="17" max="17" width="13.33203125" bestFit="1" customWidth="1"/>
    <col min="18" max="18" width="5.6640625" bestFit="1" customWidth="1"/>
    <col min="19" max="19" width="5.21875" bestFit="1" customWidth="1"/>
    <col min="20" max="20" width="7" bestFit="1" customWidth="1"/>
    <col min="21" max="21" width="11.88671875" bestFit="1" customWidth="1"/>
    <col min="22" max="22" width="15" bestFit="1" customWidth="1"/>
    <col min="23" max="23" width="182.44140625" bestFit="1" customWidth="1"/>
    <col min="24" max="24" width="12.6640625" bestFit="1" customWidth="1"/>
    <col min="25" max="25" width="46.6640625" bestFit="1" customWidth="1"/>
  </cols>
  <sheetData>
    <row r="1" spans="1:25" x14ac:dyDescent="0.3">
      <c r="A1" s="1" t="s">
        <v>175</v>
      </c>
      <c r="B1" s="1" t="s">
        <v>46</v>
      </c>
      <c r="C1" s="1" t="s">
        <v>103</v>
      </c>
      <c r="D1" s="1" t="s">
        <v>176</v>
      </c>
      <c r="E1" s="1" t="s">
        <v>224</v>
      </c>
      <c r="F1" s="1" t="s">
        <v>198</v>
      </c>
      <c r="G1" s="1" t="s">
        <v>325</v>
      </c>
      <c r="H1" s="1" t="s">
        <v>199</v>
      </c>
      <c r="I1" s="1" t="s">
        <v>225</v>
      </c>
      <c r="J1" s="1" t="s">
        <v>133</v>
      </c>
      <c r="K1" s="1" t="s">
        <v>350</v>
      </c>
      <c r="L1" s="1" t="s">
        <v>260</v>
      </c>
      <c r="M1" s="1" t="s">
        <v>155</v>
      </c>
      <c r="N1" s="1" t="s">
        <v>156</v>
      </c>
      <c r="O1" s="1" t="s">
        <v>0</v>
      </c>
      <c r="P1" s="1" t="s">
        <v>200</v>
      </c>
      <c r="Q1" s="1" t="s">
        <v>157</v>
      </c>
      <c r="R1" s="1" t="s">
        <v>81</v>
      </c>
      <c r="S1" s="1" t="s">
        <v>261</v>
      </c>
      <c r="T1" s="1" t="s">
        <v>47</v>
      </c>
      <c r="U1" s="1" t="s">
        <v>82</v>
      </c>
      <c r="V1" s="1" t="s">
        <v>226</v>
      </c>
      <c r="W1" s="1" t="s">
        <v>1</v>
      </c>
      <c r="X1" s="1" t="s">
        <v>134</v>
      </c>
      <c r="Y1" s="1" t="s">
        <v>2</v>
      </c>
    </row>
    <row r="2" spans="1:25" ht="60" customHeight="1" x14ac:dyDescent="0.3">
      <c r="A2" s="1" t="s">
        <v>66</v>
      </c>
      <c r="B2" s="1" t="s">
        <v>66</v>
      </c>
      <c r="C2" s="1" t="s">
        <v>326</v>
      </c>
      <c r="D2" s="1" t="s">
        <v>83</v>
      </c>
      <c r="E2" s="1" t="s">
        <v>177</v>
      </c>
      <c r="F2" s="1" t="s">
        <v>84</v>
      </c>
      <c r="I2" s="1" t="s">
        <v>262</v>
      </c>
      <c r="J2" s="1" t="s">
        <v>84</v>
      </c>
      <c r="K2">
        <f>I2*J2</f>
        <v>1.6379999999999999</v>
      </c>
      <c r="M2" s="1" t="s">
        <v>85</v>
      </c>
      <c r="N2" s="1" t="s">
        <v>48</v>
      </c>
      <c r="O2" s="1" t="s">
        <v>25</v>
      </c>
      <c r="P2" s="1" t="s">
        <v>86</v>
      </c>
      <c r="Q2" s="1" t="s">
        <v>3</v>
      </c>
      <c r="R2" s="1" t="s">
        <v>327</v>
      </c>
      <c r="S2" s="1" t="s">
        <v>104</v>
      </c>
      <c r="T2" s="1" t="s">
        <v>104</v>
      </c>
      <c r="U2" s="1" t="s">
        <v>227</v>
      </c>
      <c r="V2" s="1" t="s">
        <v>67</v>
      </c>
      <c r="W2" s="1" t="s">
        <v>328</v>
      </c>
      <c r="Y2" s="1" t="s">
        <v>26</v>
      </c>
    </row>
    <row r="3" spans="1:25" ht="60" customHeight="1" x14ac:dyDescent="0.3">
      <c r="A3" s="1" t="s">
        <v>329</v>
      </c>
      <c r="B3" s="1" t="s">
        <v>329</v>
      </c>
      <c r="C3" s="1" t="s">
        <v>49</v>
      </c>
      <c r="D3" s="1" t="s">
        <v>83</v>
      </c>
      <c r="E3" s="1" t="s">
        <v>158</v>
      </c>
      <c r="F3" s="1" t="s">
        <v>4</v>
      </c>
      <c r="I3" s="1" t="s">
        <v>307</v>
      </c>
      <c r="J3" s="1" t="s">
        <v>4</v>
      </c>
      <c r="K3">
        <f t="shared" ref="K3:K39" si="0">I3*J3</f>
        <v>0.75600000000000001</v>
      </c>
      <c r="M3" s="1" t="s">
        <v>85</v>
      </c>
      <c r="N3" s="1" t="s">
        <v>263</v>
      </c>
      <c r="O3" s="1" t="s">
        <v>25</v>
      </c>
      <c r="P3" s="1" t="s">
        <v>86</v>
      </c>
      <c r="Q3" s="1" t="s">
        <v>228</v>
      </c>
      <c r="R3" s="1" t="s">
        <v>327</v>
      </c>
      <c r="S3" s="1" t="s">
        <v>104</v>
      </c>
      <c r="T3" s="1" t="s">
        <v>104</v>
      </c>
      <c r="U3" s="1" t="s">
        <v>227</v>
      </c>
      <c r="V3" s="1" t="s">
        <v>27</v>
      </c>
      <c r="W3" s="1" t="s">
        <v>178</v>
      </c>
      <c r="Y3" s="1" t="s">
        <v>159</v>
      </c>
    </row>
    <row r="4" spans="1:25" ht="60" customHeight="1" x14ac:dyDescent="0.3">
      <c r="A4" s="1" t="s">
        <v>5</v>
      </c>
      <c r="B4" s="1" t="s">
        <v>5</v>
      </c>
      <c r="C4" s="1" t="s">
        <v>244</v>
      </c>
      <c r="D4" s="1" t="s">
        <v>68</v>
      </c>
      <c r="E4" s="1" t="s">
        <v>264</v>
      </c>
      <c r="F4" s="1" t="s">
        <v>245</v>
      </c>
      <c r="I4" s="1" t="s">
        <v>307</v>
      </c>
      <c r="J4" s="1" t="s">
        <v>245</v>
      </c>
      <c r="K4">
        <f t="shared" si="0"/>
        <v>1.548</v>
      </c>
      <c r="M4" s="1" t="s">
        <v>85</v>
      </c>
      <c r="N4" s="1" t="s">
        <v>246</v>
      </c>
      <c r="O4" s="1" t="s">
        <v>201</v>
      </c>
      <c r="P4" s="1" t="s">
        <v>202</v>
      </c>
      <c r="Q4" s="1" t="s">
        <v>3</v>
      </c>
      <c r="R4" s="1" t="s">
        <v>327</v>
      </c>
      <c r="S4" s="1" t="s">
        <v>104</v>
      </c>
      <c r="T4" s="1" t="s">
        <v>104</v>
      </c>
      <c r="U4" s="1" t="s">
        <v>227</v>
      </c>
      <c r="V4" s="1" t="s">
        <v>203</v>
      </c>
      <c r="W4" s="1" t="s">
        <v>69</v>
      </c>
      <c r="Y4" s="1" t="s">
        <v>26</v>
      </c>
    </row>
    <row r="5" spans="1:25" ht="60" customHeight="1" x14ac:dyDescent="0.3">
      <c r="A5" s="1" t="s">
        <v>308</v>
      </c>
      <c r="B5" s="1" t="s">
        <v>308</v>
      </c>
      <c r="C5" s="1" t="s">
        <v>6</v>
      </c>
      <c r="D5" s="1" t="s">
        <v>83</v>
      </c>
      <c r="E5" s="1" t="s">
        <v>105</v>
      </c>
      <c r="F5" s="1" t="s">
        <v>160</v>
      </c>
      <c r="I5" s="1" t="s">
        <v>307</v>
      </c>
      <c r="J5" s="1" t="s">
        <v>160</v>
      </c>
      <c r="K5">
        <f t="shared" si="0"/>
        <v>0.44800000000000001</v>
      </c>
      <c r="M5" s="1" t="s">
        <v>85</v>
      </c>
      <c r="N5" s="1" t="s">
        <v>106</v>
      </c>
      <c r="O5" s="1" t="s">
        <v>25</v>
      </c>
      <c r="P5" s="1" t="s">
        <v>86</v>
      </c>
      <c r="Q5" s="1" t="s">
        <v>179</v>
      </c>
      <c r="R5" s="1" t="s">
        <v>327</v>
      </c>
      <c r="S5" s="1" t="s">
        <v>104</v>
      </c>
      <c r="T5" s="1" t="s">
        <v>104</v>
      </c>
      <c r="U5" s="1" t="s">
        <v>227</v>
      </c>
      <c r="V5" s="1" t="s">
        <v>27</v>
      </c>
      <c r="W5" s="1" t="s">
        <v>87</v>
      </c>
      <c r="Y5" s="1" t="s">
        <v>159</v>
      </c>
    </row>
    <row r="6" spans="1:25" ht="60" customHeight="1" x14ac:dyDescent="0.3">
      <c r="A6" s="1" t="s">
        <v>7</v>
      </c>
      <c r="B6" s="1" t="s">
        <v>7</v>
      </c>
      <c r="C6" s="1" t="s">
        <v>204</v>
      </c>
      <c r="D6" s="1" t="s">
        <v>70</v>
      </c>
      <c r="E6" s="1" t="s">
        <v>135</v>
      </c>
      <c r="F6" s="1" t="s">
        <v>88</v>
      </c>
      <c r="I6" s="1" t="s">
        <v>229</v>
      </c>
      <c r="J6" s="1" t="s">
        <v>88</v>
      </c>
      <c r="K6">
        <f t="shared" si="0"/>
        <v>0.34399999999999997</v>
      </c>
      <c r="M6" s="1" t="s">
        <v>85</v>
      </c>
      <c r="N6" s="1" t="s">
        <v>230</v>
      </c>
      <c r="O6" s="1" t="s">
        <v>283</v>
      </c>
      <c r="P6" s="1" t="s">
        <v>28</v>
      </c>
      <c r="Q6" s="1" t="s">
        <v>3</v>
      </c>
      <c r="R6" s="1" t="s">
        <v>327</v>
      </c>
      <c r="S6" s="1" t="s">
        <v>104</v>
      </c>
      <c r="T6" s="1" t="s">
        <v>327</v>
      </c>
      <c r="U6" s="1" t="s">
        <v>227</v>
      </c>
      <c r="V6" s="1" t="s">
        <v>50</v>
      </c>
      <c r="W6" s="1" t="s">
        <v>205</v>
      </c>
      <c r="Y6" s="1" t="s">
        <v>26</v>
      </c>
    </row>
    <row r="7" spans="1:25" ht="60" customHeight="1" x14ac:dyDescent="0.3">
      <c r="A7" s="1" t="s">
        <v>265</v>
      </c>
      <c r="B7" s="1" t="s">
        <v>265</v>
      </c>
      <c r="C7" s="1" t="s">
        <v>29</v>
      </c>
      <c r="D7" s="1" t="s">
        <v>70</v>
      </c>
      <c r="E7" s="1" t="s">
        <v>51</v>
      </c>
      <c r="F7" s="1" t="s">
        <v>247</v>
      </c>
      <c r="I7" s="1" t="s">
        <v>229</v>
      </c>
      <c r="J7" s="1" t="s">
        <v>247</v>
      </c>
      <c r="K7">
        <f t="shared" si="0"/>
        <v>0.52500000000000002</v>
      </c>
      <c r="M7" s="1" t="s">
        <v>85</v>
      </c>
      <c r="N7" s="1" t="s">
        <v>284</v>
      </c>
      <c r="O7" s="1" t="s">
        <v>107</v>
      </c>
      <c r="P7" s="1" t="s">
        <v>161</v>
      </c>
      <c r="Q7" s="1" t="s">
        <v>3</v>
      </c>
      <c r="R7" s="1" t="s">
        <v>327</v>
      </c>
      <c r="S7" s="1" t="s">
        <v>104</v>
      </c>
      <c r="T7" s="1" t="s">
        <v>327</v>
      </c>
      <c r="U7" s="1" t="s">
        <v>227</v>
      </c>
      <c r="V7" s="1" t="s">
        <v>330</v>
      </c>
      <c r="W7" s="1" t="s">
        <v>180</v>
      </c>
      <c r="Y7" s="1" t="s">
        <v>26</v>
      </c>
    </row>
    <row r="8" spans="1:25" ht="60" customHeight="1" x14ac:dyDescent="0.3">
      <c r="A8" s="1" t="s">
        <v>248</v>
      </c>
      <c r="B8" s="1" t="s">
        <v>248</v>
      </c>
      <c r="C8" s="1" t="s">
        <v>181</v>
      </c>
      <c r="D8" s="1" t="s">
        <v>30</v>
      </c>
      <c r="E8" s="1" t="s">
        <v>285</v>
      </c>
      <c r="F8" s="1" t="s">
        <v>266</v>
      </c>
      <c r="I8" s="1" t="s">
        <v>229</v>
      </c>
      <c r="J8" s="1" t="s">
        <v>266</v>
      </c>
      <c r="K8">
        <f t="shared" si="0"/>
        <v>0.16300000000000001</v>
      </c>
      <c r="M8" s="1" t="s">
        <v>85</v>
      </c>
      <c r="N8" s="1" t="s">
        <v>108</v>
      </c>
      <c r="O8" s="1" t="s">
        <v>206</v>
      </c>
      <c r="P8" s="1" t="s">
        <v>162</v>
      </c>
      <c r="Q8" s="1" t="s">
        <v>179</v>
      </c>
      <c r="R8" s="1" t="s">
        <v>327</v>
      </c>
      <c r="S8" s="1" t="s">
        <v>104</v>
      </c>
      <c r="T8" s="1" t="s">
        <v>104</v>
      </c>
      <c r="U8" s="1" t="s">
        <v>8</v>
      </c>
      <c r="V8" s="1" t="s">
        <v>331</v>
      </c>
      <c r="W8" s="1" t="s">
        <v>109</v>
      </c>
      <c r="Y8" s="1" t="s">
        <v>159</v>
      </c>
    </row>
    <row r="9" spans="1:25" ht="60" customHeight="1" x14ac:dyDescent="0.3">
      <c r="A9" s="1" t="s">
        <v>286</v>
      </c>
      <c r="B9" s="1" t="s">
        <v>286</v>
      </c>
      <c r="C9" s="1" t="s">
        <v>52</v>
      </c>
      <c r="D9" s="1" t="s">
        <v>70</v>
      </c>
      <c r="E9" s="1" t="s">
        <v>31</v>
      </c>
      <c r="F9" s="1" t="s">
        <v>89</v>
      </c>
      <c r="I9" s="1" t="s">
        <v>229</v>
      </c>
      <c r="J9" s="1" t="s">
        <v>89</v>
      </c>
      <c r="K9">
        <f t="shared" si="0"/>
        <v>0.25800000000000001</v>
      </c>
      <c r="M9" s="1" t="s">
        <v>85</v>
      </c>
      <c r="N9" s="1" t="s">
        <v>53</v>
      </c>
      <c r="O9" s="1" t="s">
        <v>107</v>
      </c>
      <c r="P9" s="1" t="s">
        <v>161</v>
      </c>
      <c r="Q9" s="1" t="s">
        <v>3</v>
      </c>
      <c r="R9" s="1" t="s">
        <v>327</v>
      </c>
      <c r="S9" s="1" t="s">
        <v>104</v>
      </c>
      <c r="T9" s="1" t="s">
        <v>327</v>
      </c>
      <c r="U9" s="1" t="s">
        <v>227</v>
      </c>
      <c r="V9" s="1" t="s">
        <v>287</v>
      </c>
      <c r="W9" s="1" t="s">
        <v>207</v>
      </c>
      <c r="Y9" s="1" t="s">
        <v>26</v>
      </c>
    </row>
    <row r="10" spans="1:25" ht="60" customHeight="1" x14ac:dyDescent="0.3">
      <c r="A10" s="1" t="s">
        <v>309</v>
      </c>
      <c r="B10" s="1" t="s">
        <v>309</v>
      </c>
      <c r="C10" s="1" t="s">
        <v>90</v>
      </c>
      <c r="D10" s="1" t="s">
        <v>91</v>
      </c>
      <c r="E10" s="1" t="s">
        <v>32</v>
      </c>
      <c r="F10" s="1" t="s">
        <v>332</v>
      </c>
      <c r="I10" s="1" t="s">
        <v>229</v>
      </c>
      <c r="J10" s="1" t="s">
        <v>332</v>
      </c>
      <c r="K10">
        <f t="shared" si="0"/>
        <v>0.56799999999999995</v>
      </c>
      <c r="M10" s="1" t="s">
        <v>85</v>
      </c>
      <c r="N10" s="1" t="s">
        <v>110</v>
      </c>
      <c r="O10" s="1" t="s">
        <v>288</v>
      </c>
      <c r="P10" s="1" t="s">
        <v>267</v>
      </c>
      <c r="Q10" s="1" t="s">
        <v>3</v>
      </c>
      <c r="R10" s="1" t="s">
        <v>327</v>
      </c>
      <c r="S10" s="1" t="s">
        <v>104</v>
      </c>
      <c r="T10" s="1" t="s">
        <v>104</v>
      </c>
      <c r="U10" s="1" t="s">
        <v>227</v>
      </c>
      <c r="V10" s="1" t="s">
        <v>54</v>
      </c>
      <c r="W10" s="1" t="s">
        <v>182</v>
      </c>
      <c r="Y10" s="1" t="s">
        <v>26</v>
      </c>
    </row>
    <row r="11" spans="1:25" ht="60" customHeight="1" x14ac:dyDescent="0.3">
      <c r="A11" s="1" t="s">
        <v>9</v>
      </c>
      <c r="B11" s="1" t="s">
        <v>9</v>
      </c>
      <c r="C11" s="1" t="s">
        <v>249</v>
      </c>
      <c r="D11" s="1" t="s">
        <v>55</v>
      </c>
      <c r="E11" s="1" t="s">
        <v>310</v>
      </c>
      <c r="F11" s="1" t="s">
        <v>33</v>
      </c>
      <c r="I11" s="1" t="s">
        <v>229</v>
      </c>
      <c r="J11" s="1" t="s">
        <v>33</v>
      </c>
      <c r="K11">
        <f t="shared" si="0"/>
        <v>5.74</v>
      </c>
      <c r="M11" s="1" t="s">
        <v>85</v>
      </c>
      <c r="N11" s="1" t="s">
        <v>333</v>
      </c>
      <c r="O11" s="1" t="s">
        <v>111</v>
      </c>
      <c r="P11" s="1" t="s">
        <v>71</v>
      </c>
      <c r="Q11" s="1" t="s">
        <v>3</v>
      </c>
      <c r="R11" s="1" t="s">
        <v>327</v>
      </c>
      <c r="S11" s="1" t="s">
        <v>104</v>
      </c>
      <c r="T11" s="1" t="s">
        <v>327</v>
      </c>
      <c r="U11" s="1" t="s">
        <v>112</v>
      </c>
      <c r="V11" s="1" t="s">
        <v>113</v>
      </c>
      <c r="W11" s="1" t="s">
        <v>311</v>
      </c>
      <c r="Y11" s="1" t="s">
        <v>26</v>
      </c>
    </row>
    <row r="12" spans="1:25" ht="60" customHeight="1" x14ac:dyDescent="0.3">
      <c r="A12" s="1" t="s">
        <v>231</v>
      </c>
      <c r="B12" s="1" t="s">
        <v>268</v>
      </c>
      <c r="C12" s="1" t="s">
        <v>208</v>
      </c>
      <c r="D12" s="1" t="s">
        <v>114</v>
      </c>
      <c r="E12" s="1" t="s">
        <v>209</v>
      </c>
      <c r="F12" s="1" t="s">
        <v>115</v>
      </c>
      <c r="I12" s="1" t="s">
        <v>229</v>
      </c>
      <c r="J12" s="1" t="s">
        <v>115</v>
      </c>
      <c r="K12">
        <f t="shared" si="0"/>
        <v>9.15</v>
      </c>
      <c r="M12" s="1" t="s">
        <v>85</v>
      </c>
      <c r="N12" s="1" t="s">
        <v>34</v>
      </c>
      <c r="O12" s="1" t="s">
        <v>116</v>
      </c>
      <c r="P12" s="1" t="s">
        <v>267</v>
      </c>
      <c r="Q12" s="1" t="s">
        <v>3</v>
      </c>
      <c r="R12" s="1" t="s">
        <v>327</v>
      </c>
      <c r="S12" s="1" t="s">
        <v>104</v>
      </c>
      <c r="T12" s="1" t="s">
        <v>104</v>
      </c>
      <c r="U12" s="1" t="s">
        <v>163</v>
      </c>
      <c r="V12" s="1" t="s">
        <v>269</v>
      </c>
      <c r="W12" s="1" t="s">
        <v>334</v>
      </c>
      <c r="Y12" s="1" t="s">
        <v>26</v>
      </c>
    </row>
    <row r="13" spans="1:25" ht="60" customHeight="1" x14ac:dyDescent="0.3">
      <c r="A13" s="1" t="s">
        <v>92</v>
      </c>
      <c r="B13" s="1" t="s">
        <v>92</v>
      </c>
      <c r="C13" s="1" t="s">
        <v>312</v>
      </c>
      <c r="D13" s="1" t="s">
        <v>289</v>
      </c>
      <c r="E13" s="1" t="s">
        <v>183</v>
      </c>
      <c r="F13" s="1" t="s">
        <v>136</v>
      </c>
      <c r="I13" s="1" t="s">
        <v>229</v>
      </c>
      <c r="J13" s="1" t="s">
        <v>136</v>
      </c>
      <c r="K13">
        <f t="shared" si="0"/>
        <v>2.35</v>
      </c>
      <c r="M13" s="1" t="s">
        <v>85</v>
      </c>
      <c r="N13" s="1" t="s">
        <v>137</v>
      </c>
      <c r="O13" s="1" t="s">
        <v>25</v>
      </c>
      <c r="P13" s="1" t="s">
        <v>86</v>
      </c>
      <c r="Q13" s="1" t="s">
        <v>3</v>
      </c>
      <c r="R13" s="1" t="s">
        <v>327</v>
      </c>
      <c r="S13" s="1" t="s">
        <v>104</v>
      </c>
      <c r="T13" s="1" t="s">
        <v>327</v>
      </c>
      <c r="U13" s="1" t="s">
        <v>227</v>
      </c>
      <c r="V13" s="1" t="s">
        <v>203</v>
      </c>
      <c r="W13" s="1" t="s">
        <v>210</v>
      </c>
      <c r="Y13" s="1" t="s">
        <v>26</v>
      </c>
    </row>
    <row r="14" spans="1:25" ht="60" customHeight="1" x14ac:dyDescent="0.3">
      <c r="A14" s="1" t="s">
        <v>290</v>
      </c>
      <c r="B14" s="1" t="s">
        <v>138</v>
      </c>
      <c r="C14" s="1" t="s">
        <v>313</v>
      </c>
      <c r="D14" s="1" t="s">
        <v>55</v>
      </c>
      <c r="E14" s="1" t="s">
        <v>139</v>
      </c>
      <c r="F14" s="1" t="s">
        <v>314</v>
      </c>
      <c r="I14" s="1" t="s">
        <v>229</v>
      </c>
      <c r="J14" s="1" t="s">
        <v>314</v>
      </c>
      <c r="K14">
        <f t="shared" si="0"/>
        <v>0.86</v>
      </c>
      <c r="M14" s="1" t="s">
        <v>85</v>
      </c>
      <c r="N14" s="1" t="s">
        <v>211</v>
      </c>
      <c r="O14" s="1" t="s">
        <v>206</v>
      </c>
      <c r="P14" s="1" t="s">
        <v>162</v>
      </c>
      <c r="Q14" s="1" t="s">
        <v>179</v>
      </c>
      <c r="R14" s="1" t="s">
        <v>327</v>
      </c>
      <c r="S14" s="1" t="s">
        <v>104</v>
      </c>
      <c r="T14" s="1" t="s">
        <v>327</v>
      </c>
      <c r="U14" s="1" t="s">
        <v>112</v>
      </c>
      <c r="V14" s="1" t="s">
        <v>35</v>
      </c>
      <c r="W14" s="1" t="s">
        <v>291</v>
      </c>
      <c r="Y14" s="1" t="s">
        <v>159</v>
      </c>
    </row>
    <row r="15" spans="1:25" ht="60" customHeight="1" x14ac:dyDescent="0.3">
      <c r="A15" s="1" t="s">
        <v>315</v>
      </c>
      <c r="B15" s="1" t="s">
        <v>56</v>
      </c>
      <c r="C15" s="1" t="s">
        <v>36</v>
      </c>
      <c r="D15" s="1" t="s">
        <v>55</v>
      </c>
      <c r="E15" s="1" t="s">
        <v>117</v>
      </c>
      <c r="F15" s="1" t="s">
        <v>93</v>
      </c>
      <c r="I15" s="1" t="s">
        <v>229</v>
      </c>
      <c r="J15" s="1" t="s">
        <v>93</v>
      </c>
      <c r="K15">
        <f t="shared" si="0"/>
        <v>1.04</v>
      </c>
      <c r="M15" s="1" t="s">
        <v>85</v>
      </c>
      <c r="N15" s="1" t="s">
        <v>118</v>
      </c>
      <c r="O15" s="1" t="s">
        <v>107</v>
      </c>
      <c r="P15" s="1" t="s">
        <v>161</v>
      </c>
      <c r="Q15" s="1" t="s">
        <v>3</v>
      </c>
      <c r="R15" s="1" t="s">
        <v>327</v>
      </c>
      <c r="S15" s="1" t="s">
        <v>104</v>
      </c>
      <c r="T15" s="1" t="s">
        <v>104</v>
      </c>
      <c r="U15" s="1" t="s">
        <v>163</v>
      </c>
      <c r="V15" s="1" t="s">
        <v>270</v>
      </c>
      <c r="W15" s="1" t="s">
        <v>212</v>
      </c>
      <c r="Y15" s="1" t="s">
        <v>26</v>
      </c>
    </row>
    <row r="16" spans="1:25" ht="60" customHeight="1" x14ac:dyDescent="0.3">
      <c r="A16" s="1" t="s">
        <v>164</v>
      </c>
      <c r="B16" s="1" t="s">
        <v>164</v>
      </c>
      <c r="C16" s="1" t="s">
        <v>37</v>
      </c>
      <c r="D16" s="1" t="s">
        <v>184</v>
      </c>
      <c r="E16" s="1" t="s">
        <v>335</v>
      </c>
      <c r="F16" s="1" t="s">
        <v>165</v>
      </c>
      <c r="I16" s="1" t="s">
        <v>229</v>
      </c>
      <c r="J16" s="1" t="s">
        <v>165</v>
      </c>
      <c r="K16">
        <f t="shared" si="0"/>
        <v>1.57</v>
      </c>
      <c r="M16" s="1" t="s">
        <v>85</v>
      </c>
      <c r="N16" s="1" t="s">
        <v>119</v>
      </c>
      <c r="O16" s="1" t="s">
        <v>213</v>
      </c>
      <c r="P16" s="1" t="s">
        <v>94</v>
      </c>
      <c r="Q16" s="1" t="s">
        <v>3</v>
      </c>
      <c r="R16" s="1" t="s">
        <v>327</v>
      </c>
      <c r="S16" s="1" t="s">
        <v>104</v>
      </c>
      <c r="T16" s="1" t="s">
        <v>104</v>
      </c>
      <c r="U16" s="1" t="s">
        <v>227</v>
      </c>
      <c r="V16" s="1" t="s">
        <v>27</v>
      </c>
      <c r="W16" s="1" t="s">
        <v>316</v>
      </c>
      <c r="Y16" s="1" t="s">
        <v>26</v>
      </c>
    </row>
    <row r="17" spans="1:25" ht="60" customHeight="1" x14ac:dyDescent="0.3">
      <c r="A17" s="1" t="s">
        <v>292</v>
      </c>
      <c r="B17" s="1" t="s">
        <v>292</v>
      </c>
      <c r="C17" s="1" t="s">
        <v>293</v>
      </c>
      <c r="D17" s="1" t="s">
        <v>289</v>
      </c>
      <c r="E17" s="1" t="s">
        <v>336</v>
      </c>
      <c r="F17" s="1" t="s">
        <v>271</v>
      </c>
      <c r="I17" s="1" t="s">
        <v>229</v>
      </c>
      <c r="J17" s="1" t="s">
        <v>271</v>
      </c>
      <c r="K17">
        <f t="shared" si="0"/>
        <v>1.01</v>
      </c>
      <c r="M17" s="1" t="s">
        <v>85</v>
      </c>
      <c r="N17" s="1" t="s">
        <v>3</v>
      </c>
      <c r="O17" s="1" t="s">
        <v>25</v>
      </c>
      <c r="P17" s="1" t="s">
        <v>86</v>
      </c>
      <c r="Q17" s="1" t="s">
        <v>3</v>
      </c>
      <c r="R17" s="1" t="s">
        <v>327</v>
      </c>
      <c r="S17" s="1" t="s">
        <v>104</v>
      </c>
      <c r="T17" s="1" t="s">
        <v>327</v>
      </c>
      <c r="U17" s="1" t="s">
        <v>227</v>
      </c>
      <c r="V17" s="1" t="s">
        <v>317</v>
      </c>
      <c r="W17" s="1" t="s">
        <v>57</v>
      </c>
      <c r="Y17" s="1" t="s">
        <v>26</v>
      </c>
    </row>
    <row r="18" spans="1:25" ht="60" customHeight="1" x14ac:dyDescent="0.3">
      <c r="A18" s="1" t="s">
        <v>95</v>
      </c>
      <c r="B18" s="1" t="s">
        <v>95</v>
      </c>
      <c r="C18" s="1" t="s">
        <v>72</v>
      </c>
      <c r="D18" s="1" t="s">
        <v>55</v>
      </c>
      <c r="E18" s="1" t="s">
        <v>140</v>
      </c>
      <c r="F18" s="1" t="s">
        <v>93</v>
      </c>
      <c r="I18" s="1" t="s">
        <v>229</v>
      </c>
      <c r="J18" s="1" t="s">
        <v>93</v>
      </c>
      <c r="K18">
        <f t="shared" si="0"/>
        <v>1.04</v>
      </c>
      <c r="M18" s="1" t="s">
        <v>85</v>
      </c>
      <c r="N18" s="1" t="s">
        <v>10</v>
      </c>
      <c r="O18" s="1" t="s">
        <v>185</v>
      </c>
      <c r="P18" s="1" t="s">
        <v>162</v>
      </c>
      <c r="Q18" s="1" t="s">
        <v>3</v>
      </c>
      <c r="R18" s="1" t="s">
        <v>327</v>
      </c>
      <c r="S18" s="1" t="s">
        <v>104</v>
      </c>
      <c r="T18" s="1" t="s">
        <v>327</v>
      </c>
      <c r="U18" s="1" t="s">
        <v>163</v>
      </c>
      <c r="V18" s="1" t="s">
        <v>270</v>
      </c>
      <c r="W18" s="1" t="s">
        <v>318</v>
      </c>
      <c r="Y18" s="1" t="s">
        <v>26</v>
      </c>
    </row>
    <row r="19" spans="1:25" ht="60" customHeight="1" x14ac:dyDescent="0.3">
      <c r="A19" s="1" t="s">
        <v>186</v>
      </c>
      <c r="B19" s="1" t="s">
        <v>186</v>
      </c>
      <c r="C19" s="1" t="s">
        <v>73</v>
      </c>
      <c r="D19" s="1" t="s">
        <v>289</v>
      </c>
      <c r="E19" s="1" t="s">
        <v>272</v>
      </c>
      <c r="F19" s="1" t="s">
        <v>187</v>
      </c>
      <c r="I19" s="1" t="s">
        <v>229</v>
      </c>
      <c r="J19" s="1" t="s">
        <v>187</v>
      </c>
      <c r="K19">
        <f t="shared" si="0"/>
        <v>1.47</v>
      </c>
      <c r="M19" s="1" t="s">
        <v>85</v>
      </c>
      <c r="N19" s="1" t="s">
        <v>166</v>
      </c>
      <c r="O19" s="1" t="s">
        <v>294</v>
      </c>
      <c r="P19" s="1" t="s">
        <v>295</v>
      </c>
      <c r="Q19" s="1" t="s">
        <v>3</v>
      </c>
      <c r="R19" s="1" t="s">
        <v>327</v>
      </c>
      <c r="S19" s="1" t="s">
        <v>104</v>
      </c>
      <c r="T19" s="1" t="s">
        <v>104</v>
      </c>
      <c r="U19" s="1" t="s">
        <v>163</v>
      </c>
      <c r="V19" s="1" t="s">
        <v>214</v>
      </c>
      <c r="W19" s="1" t="s">
        <v>11</v>
      </c>
      <c r="Y19" s="1" t="s">
        <v>26</v>
      </c>
    </row>
    <row r="20" spans="1:25" ht="60" customHeight="1" x14ac:dyDescent="0.3">
      <c r="A20" s="1" t="s">
        <v>296</v>
      </c>
      <c r="B20" s="1" t="s">
        <v>296</v>
      </c>
      <c r="C20" s="1" t="s">
        <v>319</v>
      </c>
      <c r="D20" s="1" t="s">
        <v>289</v>
      </c>
      <c r="E20" s="1" t="s">
        <v>12</v>
      </c>
      <c r="F20" s="1" t="s">
        <v>167</v>
      </c>
      <c r="I20" s="1" t="s">
        <v>229</v>
      </c>
      <c r="J20" s="1" t="s">
        <v>167</v>
      </c>
      <c r="K20">
        <f t="shared" si="0"/>
        <v>5.99</v>
      </c>
      <c r="M20" s="1" t="s">
        <v>85</v>
      </c>
      <c r="N20" s="1" t="s">
        <v>58</v>
      </c>
      <c r="O20" s="1" t="s">
        <v>25</v>
      </c>
      <c r="P20" s="1" t="s">
        <v>86</v>
      </c>
      <c r="Q20" s="1" t="s">
        <v>3</v>
      </c>
      <c r="R20" s="1" t="s">
        <v>327</v>
      </c>
      <c r="S20" s="1" t="s">
        <v>104</v>
      </c>
      <c r="T20" s="1" t="s">
        <v>327</v>
      </c>
      <c r="U20" s="1" t="s">
        <v>163</v>
      </c>
      <c r="V20" s="1" t="s">
        <v>120</v>
      </c>
      <c r="W20" s="1" t="s">
        <v>297</v>
      </c>
      <c r="Y20" s="1" t="s">
        <v>26</v>
      </c>
    </row>
    <row r="21" spans="1:25" ht="60" customHeight="1" x14ac:dyDescent="0.3">
      <c r="A21" s="1" t="s">
        <v>13</v>
      </c>
      <c r="B21" s="1" t="s">
        <v>13</v>
      </c>
      <c r="C21" s="1" t="s">
        <v>337</v>
      </c>
      <c r="D21" s="1" t="s">
        <v>232</v>
      </c>
      <c r="E21" s="1" t="s">
        <v>188</v>
      </c>
      <c r="F21" s="1" t="s">
        <v>38</v>
      </c>
      <c r="I21" s="1" t="s">
        <v>161</v>
      </c>
      <c r="J21" s="1" t="s">
        <v>38</v>
      </c>
      <c r="K21">
        <f t="shared" si="0"/>
        <v>3.6320000000000001</v>
      </c>
      <c r="M21" s="1" t="s">
        <v>85</v>
      </c>
      <c r="N21" s="1" t="s">
        <v>298</v>
      </c>
      <c r="O21" s="1" t="s">
        <v>299</v>
      </c>
      <c r="P21" s="1" t="s">
        <v>273</v>
      </c>
      <c r="Q21" s="1" t="s">
        <v>3</v>
      </c>
      <c r="R21" s="1" t="s">
        <v>327</v>
      </c>
      <c r="S21" s="1" t="s">
        <v>104</v>
      </c>
      <c r="T21" s="1" t="s">
        <v>327</v>
      </c>
      <c r="U21" s="1" t="s">
        <v>227</v>
      </c>
      <c r="V21" s="1" t="s">
        <v>287</v>
      </c>
      <c r="W21" s="1" t="s">
        <v>274</v>
      </c>
      <c r="Y21" s="1" t="s">
        <v>26</v>
      </c>
    </row>
    <row r="22" spans="1:25" ht="60" customHeight="1" x14ac:dyDescent="0.3">
      <c r="A22" s="1" t="s">
        <v>141</v>
      </c>
      <c r="B22" s="1" t="s">
        <v>141</v>
      </c>
      <c r="C22" s="1" t="s">
        <v>168</v>
      </c>
      <c r="D22" s="1" t="s">
        <v>338</v>
      </c>
      <c r="E22" s="1" t="s">
        <v>250</v>
      </c>
      <c r="F22" s="1" t="s">
        <v>275</v>
      </c>
      <c r="I22" s="1" t="s">
        <v>307</v>
      </c>
      <c r="J22" s="1" t="s">
        <v>275</v>
      </c>
      <c r="K22">
        <f t="shared" si="0"/>
        <v>0.74</v>
      </c>
      <c r="M22" s="1" t="s">
        <v>85</v>
      </c>
      <c r="N22" s="1" t="s">
        <v>251</v>
      </c>
      <c r="O22" s="1" t="s">
        <v>25</v>
      </c>
      <c r="P22" s="1" t="s">
        <v>86</v>
      </c>
      <c r="Q22" s="1" t="s">
        <v>3</v>
      </c>
      <c r="R22" s="1" t="s">
        <v>327</v>
      </c>
      <c r="S22" s="1" t="s">
        <v>104</v>
      </c>
      <c r="T22" s="1" t="s">
        <v>327</v>
      </c>
      <c r="U22" s="1" t="s">
        <v>227</v>
      </c>
      <c r="V22" s="1" t="s">
        <v>287</v>
      </c>
      <c r="W22" s="1" t="s">
        <v>252</v>
      </c>
      <c r="Y22" s="1" t="s">
        <v>59</v>
      </c>
    </row>
    <row r="23" spans="1:25" ht="60" customHeight="1" x14ac:dyDescent="0.3">
      <c r="A23" s="1" t="s">
        <v>276</v>
      </c>
      <c r="B23" s="1" t="s">
        <v>276</v>
      </c>
      <c r="C23" s="1" t="s">
        <v>142</v>
      </c>
      <c r="D23" s="1" t="s">
        <v>60</v>
      </c>
      <c r="E23" s="1" t="s">
        <v>14</v>
      </c>
      <c r="F23" s="1" t="s">
        <v>88</v>
      </c>
      <c r="I23" s="1" t="s">
        <v>229</v>
      </c>
      <c r="J23" s="1" t="s">
        <v>88</v>
      </c>
      <c r="K23">
        <f t="shared" si="0"/>
        <v>0.34399999999999997</v>
      </c>
      <c r="M23" s="1" t="s">
        <v>85</v>
      </c>
      <c r="N23" s="1" t="s">
        <v>189</v>
      </c>
      <c r="O23" s="1" t="s">
        <v>320</v>
      </c>
      <c r="P23" s="1" t="s">
        <v>277</v>
      </c>
      <c r="Q23" s="1" t="s">
        <v>3</v>
      </c>
      <c r="R23" s="1" t="s">
        <v>327</v>
      </c>
      <c r="S23" s="1" t="s">
        <v>104</v>
      </c>
      <c r="T23" s="1" t="s">
        <v>327</v>
      </c>
      <c r="U23" s="1" t="s">
        <v>227</v>
      </c>
      <c r="V23" s="1" t="s">
        <v>287</v>
      </c>
      <c r="W23" s="1" t="s">
        <v>253</v>
      </c>
      <c r="Y23" s="1" t="s">
        <v>26</v>
      </c>
    </row>
    <row r="24" spans="1:25" ht="60" customHeight="1" x14ac:dyDescent="0.3">
      <c r="A24" s="1" t="s">
        <v>169</v>
      </c>
      <c r="B24" s="1" t="s">
        <v>169</v>
      </c>
      <c r="C24" s="1" t="s">
        <v>278</v>
      </c>
      <c r="D24" s="1" t="s">
        <v>39</v>
      </c>
      <c r="E24" s="1" t="s">
        <v>339</v>
      </c>
      <c r="F24" s="1" t="s">
        <v>74</v>
      </c>
      <c r="I24" s="1" t="s">
        <v>162</v>
      </c>
      <c r="J24" s="1" t="s">
        <v>74</v>
      </c>
      <c r="K24">
        <f t="shared" si="0"/>
        <v>0.34399999999999997</v>
      </c>
      <c r="M24" s="1" t="s">
        <v>85</v>
      </c>
      <c r="N24" s="1" t="s">
        <v>75</v>
      </c>
      <c r="O24" s="1" t="s">
        <v>294</v>
      </c>
      <c r="P24" s="1" t="s">
        <v>295</v>
      </c>
      <c r="Q24" s="1" t="s">
        <v>3</v>
      </c>
      <c r="R24" s="1" t="s">
        <v>327</v>
      </c>
      <c r="S24" s="1" t="s">
        <v>104</v>
      </c>
      <c r="T24" s="1" t="s">
        <v>327</v>
      </c>
      <c r="U24" s="1" t="s">
        <v>227</v>
      </c>
      <c r="V24" s="1" t="s">
        <v>287</v>
      </c>
      <c r="W24" s="1" t="s">
        <v>170</v>
      </c>
      <c r="Y24" s="1" t="s">
        <v>26</v>
      </c>
    </row>
    <row r="25" spans="1:25" ht="60" customHeight="1" x14ac:dyDescent="0.3">
      <c r="A25" s="1" t="s">
        <v>215</v>
      </c>
      <c r="B25" s="1" t="s">
        <v>215</v>
      </c>
      <c r="C25" s="1" t="s">
        <v>121</v>
      </c>
      <c r="D25" s="1" t="s">
        <v>338</v>
      </c>
      <c r="E25" s="1" t="s">
        <v>321</v>
      </c>
      <c r="F25" s="1" t="s">
        <v>254</v>
      </c>
      <c r="I25" s="1" t="s">
        <v>86</v>
      </c>
      <c r="J25" s="1" t="s">
        <v>61</v>
      </c>
      <c r="K25">
        <f t="shared" si="0"/>
        <v>1.1520000000000001</v>
      </c>
      <c r="M25" s="1" t="s">
        <v>85</v>
      </c>
      <c r="N25" s="1" t="s">
        <v>171</v>
      </c>
      <c r="O25" s="1" t="s">
        <v>25</v>
      </c>
      <c r="P25" s="1" t="s">
        <v>86</v>
      </c>
      <c r="Q25" s="1" t="s">
        <v>3</v>
      </c>
      <c r="R25" s="1" t="s">
        <v>327</v>
      </c>
      <c r="S25" s="1" t="s">
        <v>104</v>
      </c>
      <c r="T25" s="1" t="s">
        <v>327</v>
      </c>
      <c r="U25" s="1" t="s">
        <v>227</v>
      </c>
      <c r="V25" s="1" t="s">
        <v>287</v>
      </c>
      <c r="W25" s="1" t="s">
        <v>252</v>
      </c>
      <c r="Y25" s="1" t="s">
        <v>26</v>
      </c>
    </row>
    <row r="26" spans="1:25" ht="60" customHeight="1" x14ac:dyDescent="0.3">
      <c r="A26" s="1" t="s">
        <v>62</v>
      </c>
      <c r="B26" s="1" t="s">
        <v>62</v>
      </c>
      <c r="C26" s="1" t="s">
        <v>216</v>
      </c>
      <c r="D26" s="1" t="s">
        <v>279</v>
      </c>
      <c r="E26" s="1" t="s">
        <v>233</v>
      </c>
      <c r="F26" s="1" t="s">
        <v>234</v>
      </c>
      <c r="I26" s="1" t="s">
        <v>229</v>
      </c>
      <c r="J26" s="1" t="s">
        <v>234</v>
      </c>
      <c r="K26">
        <f t="shared" si="0"/>
        <v>0.189</v>
      </c>
      <c r="M26" s="1" t="s">
        <v>85</v>
      </c>
      <c r="N26" s="1" t="s">
        <v>122</v>
      </c>
      <c r="O26" s="1" t="s">
        <v>123</v>
      </c>
      <c r="P26" s="1" t="s">
        <v>255</v>
      </c>
      <c r="Q26" s="1" t="s">
        <v>3</v>
      </c>
      <c r="R26" s="1" t="s">
        <v>327</v>
      </c>
      <c r="S26" s="1" t="s">
        <v>104</v>
      </c>
      <c r="T26" s="1" t="s">
        <v>104</v>
      </c>
      <c r="U26" s="1" t="s">
        <v>227</v>
      </c>
      <c r="V26" s="1" t="s">
        <v>287</v>
      </c>
      <c r="W26" s="1" t="s">
        <v>143</v>
      </c>
      <c r="Y26" s="1" t="s">
        <v>59</v>
      </c>
    </row>
    <row r="27" spans="1:25" ht="60" customHeight="1" x14ac:dyDescent="0.3">
      <c r="A27" s="1" t="s">
        <v>124</v>
      </c>
      <c r="B27" s="1" t="s">
        <v>124</v>
      </c>
      <c r="C27" s="1" t="s">
        <v>144</v>
      </c>
      <c r="D27" s="1" t="s">
        <v>300</v>
      </c>
      <c r="E27" s="1" t="s">
        <v>145</v>
      </c>
      <c r="F27" s="1" t="s">
        <v>340</v>
      </c>
      <c r="I27" s="1" t="s">
        <v>229</v>
      </c>
      <c r="J27" s="1" t="s">
        <v>340</v>
      </c>
      <c r="K27">
        <f t="shared" si="0"/>
        <v>1.52</v>
      </c>
      <c r="M27" s="1" t="s">
        <v>85</v>
      </c>
      <c r="N27" s="1" t="s">
        <v>146</v>
      </c>
      <c r="O27" s="1" t="s">
        <v>125</v>
      </c>
      <c r="P27" s="1" t="s">
        <v>15</v>
      </c>
      <c r="Q27" s="1" t="s">
        <v>3</v>
      </c>
      <c r="R27" s="1" t="s">
        <v>327</v>
      </c>
      <c r="S27" s="1" t="s">
        <v>104</v>
      </c>
      <c r="T27" s="1" t="s">
        <v>104</v>
      </c>
      <c r="U27" s="1" t="s">
        <v>163</v>
      </c>
      <c r="V27" s="1" t="s">
        <v>54</v>
      </c>
      <c r="W27" s="1" t="s">
        <v>16</v>
      </c>
      <c r="Y27" s="1" t="s">
        <v>26</v>
      </c>
    </row>
    <row r="28" spans="1:25" ht="60" customHeight="1" x14ac:dyDescent="0.3">
      <c r="A28" s="1" t="s">
        <v>190</v>
      </c>
      <c r="B28" s="1" t="s">
        <v>190</v>
      </c>
      <c r="C28" s="1" t="s">
        <v>126</v>
      </c>
      <c r="D28" s="1" t="s">
        <v>60</v>
      </c>
      <c r="E28" s="1" t="s">
        <v>191</v>
      </c>
      <c r="F28" s="1" t="s">
        <v>127</v>
      </c>
      <c r="I28" s="1" t="s">
        <v>229</v>
      </c>
      <c r="J28" s="1" t="s">
        <v>127</v>
      </c>
      <c r="K28">
        <f t="shared" si="0"/>
        <v>4.68</v>
      </c>
      <c r="M28" s="1" t="s">
        <v>85</v>
      </c>
      <c r="N28" s="1" t="s">
        <v>217</v>
      </c>
      <c r="O28" s="1" t="s">
        <v>320</v>
      </c>
      <c r="P28" s="1" t="s">
        <v>277</v>
      </c>
      <c r="Q28" s="1" t="s">
        <v>3</v>
      </c>
      <c r="R28" s="1" t="s">
        <v>327</v>
      </c>
      <c r="S28" s="1" t="s">
        <v>104</v>
      </c>
      <c r="T28" s="1" t="s">
        <v>104</v>
      </c>
      <c r="U28" s="1" t="s">
        <v>301</v>
      </c>
      <c r="V28" s="1" t="s">
        <v>96</v>
      </c>
      <c r="W28" s="1" t="s">
        <v>235</v>
      </c>
      <c r="Y28" s="1" t="s">
        <v>59</v>
      </c>
    </row>
    <row r="29" spans="1:25" ht="60" customHeight="1" x14ac:dyDescent="0.3">
      <c r="A29" s="1" t="s">
        <v>236</v>
      </c>
      <c r="B29" s="1" t="s">
        <v>236</v>
      </c>
      <c r="C29" s="1" t="s">
        <v>341</v>
      </c>
      <c r="D29" s="1" t="s">
        <v>76</v>
      </c>
      <c r="E29" s="1" t="s">
        <v>147</v>
      </c>
      <c r="F29" s="1" t="s">
        <v>93</v>
      </c>
      <c r="I29" s="1" t="s">
        <v>229</v>
      </c>
      <c r="J29" s="1" t="s">
        <v>93</v>
      </c>
      <c r="K29">
        <f t="shared" si="0"/>
        <v>1.04</v>
      </c>
      <c r="M29" s="1" t="s">
        <v>85</v>
      </c>
      <c r="N29" s="1" t="s">
        <v>97</v>
      </c>
      <c r="O29" s="1" t="s">
        <v>148</v>
      </c>
      <c r="P29" s="1" t="s">
        <v>185</v>
      </c>
      <c r="Q29" s="1" t="s">
        <v>3</v>
      </c>
      <c r="R29" s="1" t="s">
        <v>327</v>
      </c>
      <c r="S29" s="1" t="s">
        <v>104</v>
      </c>
      <c r="T29" s="1" t="s">
        <v>104</v>
      </c>
      <c r="U29" s="1" t="s">
        <v>301</v>
      </c>
      <c r="V29" s="1" t="s">
        <v>317</v>
      </c>
      <c r="W29" s="1" t="s">
        <v>128</v>
      </c>
      <c r="Y29" s="1" t="s">
        <v>26</v>
      </c>
    </row>
    <row r="30" spans="1:25" ht="60" customHeight="1" x14ac:dyDescent="0.3">
      <c r="A30" s="1" t="s">
        <v>172</v>
      </c>
      <c r="B30" s="1" t="s">
        <v>172</v>
      </c>
      <c r="C30" s="1" t="s">
        <v>17</v>
      </c>
      <c r="D30" s="1" t="s">
        <v>173</v>
      </c>
      <c r="E30" s="1" t="s">
        <v>18</v>
      </c>
      <c r="F30" s="1" t="s">
        <v>322</v>
      </c>
      <c r="I30" s="1" t="s">
        <v>307</v>
      </c>
      <c r="J30" s="1" t="s">
        <v>322</v>
      </c>
      <c r="K30">
        <f t="shared" si="0"/>
        <v>0.65400000000000003</v>
      </c>
      <c r="M30" s="1" t="s">
        <v>85</v>
      </c>
      <c r="N30" s="1" t="s">
        <v>98</v>
      </c>
      <c r="O30" s="1" t="s">
        <v>148</v>
      </c>
      <c r="P30" s="1" t="s">
        <v>185</v>
      </c>
      <c r="Q30" s="1" t="s">
        <v>3</v>
      </c>
      <c r="R30" s="1" t="s">
        <v>327</v>
      </c>
      <c r="S30" s="1" t="s">
        <v>104</v>
      </c>
      <c r="T30" s="1" t="s">
        <v>104</v>
      </c>
      <c r="U30" s="1" t="s">
        <v>301</v>
      </c>
      <c r="V30" s="1" t="s">
        <v>280</v>
      </c>
      <c r="W30" s="1" t="s">
        <v>218</v>
      </c>
      <c r="Y30" s="1" t="s">
        <v>26</v>
      </c>
    </row>
    <row r="31" spans="1:25" ht="60" customHeight="1" x14ac:dyDescent="0.3">
      <c r="A31" s="1" t="s">
        <v>129</v>
      </c>
      <c r="B31" s="1" t="s">
        <v>129</v>
      </c>
      <c r="C31" s="1" t="s">
        <v>77</v>
      </c>
      <c r="D31" s="1" t="s">
        <v>342</v>
      </c>
      <c r="E31" s="1" t="s">
        <v>256</v>
      </c>
      <c r="F31" s="1" t="s">
        <v>237</v>
      </c>
      <c r="I31" s="1" t="s">
        <v>229</v>
      </c>
      <c r="J31" s="1" t="s">
        <v>237</v>
      </c>
      <c r="K31">
        <f t="shared" si="0"/>
        <v>0.20599999999999999</v>
      </c>
      <c r="M31" s="1" t="s">
        <v>85</v>
      </c>
      <c r="N31" s="1" t="s">
        <v>219</v>
      </c>
      <c r="O31" s="1" t="s">
        <v>19</v>
      </c>
      <c r="P31" s="1" t="s">
        <v>20</v>
      </c>
      <c r="Q31" s="1" t="s">
        <v>3</v>
      </c>
      <c r="R31" s="1" t="s">
        <v>327</v>
      </c>
      <c r="S31" s="1" t="s">
        <v>104</v>
      </c>
      <c r="T31" s="1" t="s">
        <v>327</v>
      </c>
      <c r="U31" s="1" t="s">
        <v>301</v>
      </c>
      <c r="V31" s="1" t="s">
        <v>287</v>
      </c>
      <c r="W31" s="1" t="s">
        <v>21</v>
      </c>
      <c r="Y31" s="1" t="s">
        <v>26</v>
      </c>
    </row>
    <row r="32" spans="1:25" ht="60" customHeight="1" x14ac:dyDescent="0.3">
      <c r="A32" s="1" t="s">
        <v>343</v>
      </c>
      <c r="B32" s="1" t="s">
        <v>343</v>
      </c>
      <c r="C32" s="1" t="s">
        <v>130</v>
      </c>
      <c r="D32" s="1" t="s">
        <v>173</v>
      </c>
      <c r="E32" s="1" t="s">
        <v>238</v>
      </c>
      <c r="F32" s="1" t="s">
        <v>40</v>
      </c>
      <c r="I32" s="1" t="s">
        <v>307</v>
      </c>
      <c r="J32" s="1" t="s">
        <v>40</v>
      </c>
      <c r="K32">
        <f t="shared" si="0"/>
        <v>0.39600000000000002</v>
      </c>
      <c r="M32" s="1" t="s">
        <v>85</v>
      </c>
      <c r="N32" s="1" t="s">
        <v>3</v>
      </c>
      <c r="O32" s="1" t="s">
        <v>148</v>
      </c>
      <c r="P32" s="1" t="s">
        <v>185</v>
      </c>
      <c r="Q32" s="1" t="s">
        <v>3</v>
      </c>
      <c r="R32" s="1" t="s">
        <v>327</v>
      </c>
      <c r="S32" s="1" t="s">
        <v>104</v>
      </c>
      <c r="T32" s="1" t="s">
        <v>104</v>
      </c>
      <c r="U32" s="1" t="s">
        <v>301</v>
      </c>
      <c r="V32" s="1" t="s">
        <v>280</v>
      </c>
      <c r="W32" s="1" t="s">
        <v>218</v>
      </c>
      <c r="Y32" s="1" t="s">
        <v>26</v>
      </c>
    </row>
    <row r="33" spans="1:25" ht="60" customHeight="1" x14ac:dyDescent="0.3">
      <c r="A33" s="1" t="s">
        <v>302</v>
      </c>
      <c r="B33" s="1" t="s">
        <v>302</v>
      </c>
      <c r="C33" s="1" t="s">
        <v>192</v>
      </c>
      <c r="D33" s="1" t="s">
        <v>239</v>
      </c>
      <c r="E33" s="1" t="s">
        <v>99</v>
      </c>
      <c r="F33" s="1" t="s">
        <v>344</v>
      </c>
      <c r="I33" s="1" t="s">
        <v>229</v>
      </c>
      <c r="J33" s="1" t="s">
        <v>344</v>
      </c>
      <c r="K33">
        <f t="shared" si="0"/>
        <v>0.91200000000000003</v>
      </c>
      <c r="M33" s="1" t="s">
        <v>85</v>
      </c>
      <c r="N33" s="1" t="s">
        <v>63</v>
      </c>
      <c r="O33" s="1" t="s">
        <v>240</v>
      </c>
      <c r="P33" s="1" t="s">
        <v>277</v>
      </c>
      <c r="Q33" s="1" t="s">
        <v>3</v>
      </c>
      <c r="R33" s="1" t="s">
        <v>327</v>
      </c>
      <c r="S33" s="1" t="s">
        <v>104</v>
      </c>
      <c r="T33" s="1" t="s">
        <v>327</v>
      </c>
      <c r="U33" s="1" t="s">
        <v>3</v>
      </c>
      <c r="V33" s="1" t="s">
        <v>54</v>
      </c>
      <c r="W33" s="1" t="s">
        <v>193</v>
      </c>
      <c r="Y33" s="1" t="s">
        <v>26</v>
      </c>
    </row>
    <row r="34" spans="1:25" ht="60" customHeight="1" x14ac:dyDescent="0.3">
      <c r="A34" s="1" t="s">
        <v>194</v>
      </c>
      <c r="B34" s="1" t="s">
        <v>194</v>
      </c>
      <c r="C34" s="1" t="s">
        <v>220</v>
      </c>
      <c r="D34" s="1" t="s">
        <v>100</v>
      </c>
      <c r="E34" s="1" t="s">
        <v>241</v>
      </c>
      <c r="F34" s="1" t="s">
        <v>149</v>
      </c>
      <c r="I34" s="1" t="s">
        <v>229</v>
      </c>
      <c r="J34" s="1" t="s">
        <v>149</v>
      </c>
      <c r="K34">
        <f t="shared" si="0"/>
        <v>0.14599999999999999</v>
      </c>
      <c r="M34" s="1" t="s">
        <v>85</v>
      </c>
      <c r="N34" s="1" t="s">
        <v>22</v>
      </c>
      <c r="O34" s="1" t="s">
        <v>23</v>
      </c>
      <c r="P34" s="1" t="s">
        <v>101</v>
      </c>
      <c r="Q34" s="1" t="s">
        <v>3</v>
      </c>
      <c r="R34" s="1" t="s">
        <v>327</v>
      </c>
      <c r="S34" s="1" t="s">
        <v>104</v>
      </c>
      <c r="T34" s="1" t="s">
        <v>104</v>
      </c>
      <c r="U34" s="1" t="s">
        <v>301</v>
      </c>
      <c r="V34" s="1" t="s">
        <v>221</v>
      </c>
      <c r="W34" s="1" t="s">
        <v>131</v>
      </c>
      <c r="Y34" s="1" t="s">
        <v>26</v>
      </c>
    </row>
    <row r="35" spans="1:25" ht="60" customHeight="1" x14ac:dyDescent="0.3">
      <c r="A35" s="1" t="s">
        <v>323</v>
      </c>
      <c r="B35" s="1" t="s">
        <v>323</v>
      </c>
      <c r="C35" s="1" t="s">
        <v>150</v>
      </c>
      <c r="D35" s="1" t="s">
        <v>151</v>
      </c>
      <c r="E35" s="1" t="s">
        <v>174</v>
      </c>
      <c r="F35" s="1" t="s">
        <v>152</v>
      </c>
      <c r="I35" s="1" t="s">
        <v>229</v>
      </c>
      <c r="J35" s="1" t="s">
        <v>152</v>
      </c>
      <c r="K35">
        <f t="shared" si="0"/>
        <v>2.39</v>
      </c>
      <c r="M35" s="1" t="s">
        <v>85</v>
      </c>
      <c r="N35" s="1" t="s">
        <v>195</v>
      </c>
      <c r="O35" s="1" t="s">
        <v>41</v>
      </c>
      <c r="P35" s="1" t="s">
        <v>196</v>
      </c>
      <c r="Q35" s="1" t="s">
        <v>3</v>
      </c>
      <c r="R35" s="1" t="s">
        <v>327</v>
      </c>
      <c r="S35" s="1" t="s">
        <v>104</v>
      </c>
      <c r="T35" s="1" t="s">
        <v>327</v>
      </c>
      <c r="U35" s="1" t="s">
        <v>3</v>
      </c>
      <c r="V35" s="1" t="s">
        <v>42</v>
      </c>
      <c r="W35" s="1" t="s">
        <v>257</v>
      </c>
      <c r="Y35" s="1" t="s">
        <v>26</v>
      </c>
    </row>
    <row r="36" spans="1:25" ht="60" customHeight="1" x14ac:dyDescent="0.3">
      <c r="A36" s="1" t="s">
        <v>303</v>
      </c>
      <c r="B36" s="1" t="s">
        <v>303</v>
      </c>
      <c r="C36" s="1" t="s">
        <v>153</v>
      </c>
      <c r="D36" s="1" t="s">
        <v>151</v>
      </c>
      <c r="E36" s="1" t="s">
        <v>324</v>
      </c>
      <c r="F36" s="1" t="s">
        <v>78</v>
      </c>
      <c r="I36" s="1" t="s">
        <v>229</v>
      </c>
      <c r="J36" s="1" t="s">
        <v>78</v>
      </c>
      <c r="K36">
        <f t="shared" si="0"/>
        <v>1.1200000000000001</v>
      </c>
      <c r="M36" s="1" t="s">
        <v>85</v>
      </c>
      <c r="N36" s="1" t="s">
        <v>345</v>
      </c>
      <c r="O36" s="1" t="s">
        <v>19</v>
      </c>
      <c r="P36" s="1" t="s">
        <v>20</v>
      </c>
      <c r="Q36" s="1" t="s">
        <v>3</v>
      </c>
      <c r="R36" s="1" t="s">
        <v>327</v>
      </c>
      <c r="S36" s="1" t="s">
        <v>104</v>
      </c>
      <c r="T36" s="1" t="s">
        <v>327</v>
      </c>
      <c r="U36" s="1" t="s">
        <v>3</v>
      </c>
      <c r="V36" s="1" t="s">
        <v>42</v>
      </c>
      <c r="W36" s="1" t="s">
        <v>64</v>
      </c>
      <c r="Y36" s="1" t="s">
        <v>26</v>
      </c>
    </row>
    <row r="37" spans="1:25" ht="60" customHeight="1" x14ac:dyDescent="0.3">
      <c r="A37" s="1" t="s">
        <v>102</v>
      </c>
      <c r="B37" s="1" t="s">
        <v>102</v>
      </c>
      <c r="C37" s="1" t="s">
        <v>222</v>
      </c>
      <c r="D37" s="1" t="s">
        <v>223</v>
      </c>
      <c r="E37" s="1" t="s">
        <v>242</v>
      </c>
      <c r="F37" s="1" t="s">
        <v>346</v>
      </c>
      <c r="I37" s="1" t="s">
        <v>229</v>
      </c>
      <c r="J37" s="1" t="s">
        <v>346</v>
      </c>
      <c r="K37">
        <f t="shared" si="0"/>
        <v>2.2599999999999998</v>
      </c>
      <c r="M37" s="1" t="s">
        <v>85</v>
      </c>
      <c r="N37" s="1" t="s">
        <v>79</v>
      </c>
      <c r="O37" s="1" t="s">
        <v>116</v>
      </c>
      <c r="P37" s="1" t="s">
        <v>267</v>
      </c>
      <c r="Q37" s="1" t="s">
        <v>3</v>
      </c>
      <c r="R37" s="1" t="s">
        <v>327</v>
      </c>
      <c r="S37" s="1" t="s">
        <v>104</v>
      </c>
      <c r="T37" s="1" t="s">
        <v>327</v>
      </c>
      <c r="U37" s="1" t="s">
        <v>112</v>
      </c>
      <c r="V37" s="1" t="s">
        <v>24</v>
      </c>
      <c r="W37" s="1" t="s">
        <v>258</v>
      </c>
      <c r="Y37" s="1" t="s">
        <v>26</v>
      </c>
    </row>
    <row r="38" spans="1:25" ht="60" customHeight="1" x14ac:dyDescent="0.3">
      <c r="A38" s="1" t="s">
        <v>43</v>
      </c>
      <c r="B38" s="1" t="s">
        <v>43</v>
      </c>
      <c r="C38" s="1" t="s">
        <v>44</v>
      </c>
      <c r="D38" s="1" t="s">
        <v>259</v>
      </c>
      <c r="E38" s="1" t="s">
        <v>197</v>
      </c>
      <c r="F38" s="1" t="s">
        <v>347</v>
      </c>
      <c r="I38" s="1" t="s">
        <v>229</v>
      </c>
      <c r="J38" s="1" t="s">
        <v>347</v>
      </c>
      <c r="K38">
        <f t="shared" si="0"/>
        <v>2.91</v>
      </c>
      <c r="M38" s="1" t="s">
        <v>85</v>
      </c>
      <c r="N38" s="1" t="s">
        <v>348</v>
      </c>
      <c r="O38" s="1" t="s">
        <v>116</v>
      </c>
      <c r="P38" s="1" t="s">
        <v>267</v>
      </c>
      <c r="Q38" s="1" t="s">
        <v>3</v>
      </c>
      <c r="R38" s="1" t="s">
        <v>327</v>
      </c>
      <c r="S38" s="1" t="s">
        <v>104</v>
      </c>
      <c r="T38" s="1" t="s">
        <v>327</v>
      </c>
      <c r="U38" s="1" t="s">
        <v>112</v>
      </c>
      <c r="V38" s="1" t="s">
        <v>45</v>
      </c>
      <c r="W38" s="1" t="s">
        <v>243</v>
      </c>
      <c r="Y38" s="1" t="s">
        <v>59</v>
      </c>
    </row>
    <row r="39" spans="1:25" ht="60" customHeight="1" x14ac:dyDescent="0.3">
      <c r="A39" s="1" t="s">
        <v>304</v>
      </c>
      <c r="B39" s="1" t="s">
        <v>304</v>
      </c>
      <c r="C39" s="1" t="s">
        <v>154</v>
      </c>
      <c r="D39" s="1" t="s">
        <v>151</v>
      </c>
      <c r="E39" s="1" t="s">
        <v>132</v>
      </c>
      <c r="F39" s="1" t="s">
        <v>305</v>
      </c>
      <c r="I39" s="1" t="s">
        <v>80</v>
      </c>
      <c r="J39" s="1" t="s">
        <v>305</v>
      </c>
      <c r="K39">
        <f t="shared" si="0"/>
        <v>2.7600000000000002</v>
      </c>
      <c r="M39" s="1" t="s">
        <v>85</v>
      </c>
      <c r="N39" s="1" t="s">
        <v>306</v>
      </c>
      <c r="O39" s="1" t="s">
        <v>281</v>
      </c>
      <c r="P39" s="1" t="s">
        <v>71</v>
      </c>
      <c r="Q39" s="1" t="s">
        <v>3</v>
      </c>
      <c r="R39" s="1" t="s">
        <v>327</v>
      </c>
      <c r="S39" s="1" t="s">
        <v>104</v>
      </c>
      <c r="T39" s="1" t="s">
        <v>327</v>
      </c>
      <c r="U39" s="1" t="s">
        <v>3</v>
      </c>
      <c r="V39" s="1" t="s">
        <v>282</v>
      </c>
      <c r="W39" s="1" t="s">
        <v>65</v>
      </c>
      <c r="Y39" s="1" t="s">
        <v>59</v>
      </c>
    </row>
    <row r="40" spans="1:25" x14ac:dyDescent="0.3">
      <c r="C40" s="3" t="s">
        <v>349</v>
      </c>
      <c r="D40" s="2"/>
      <c r="E40" s="2"/>
      <c r="F40" s="2"/>
      <c r="G40" s="2"/>
      <c r="H40" s="2"/>
      <c r="I40" s="2"/>
      <c r="J40" s="2"/>
      <c r="K40">
        <f>SUM(K2:K39)</f>
        <v>63.863000000000007</v>
      </c>
    </row>
  </sheetData>
  <mergeCells count="1">
    <mergeCell ref="C40:J4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 gonzalez</cp:lastModifiedBy>
  <dcterms:modified xsi:type="dcterms:W3CDTF">2026-04-30T08:12:01Z</dcterms:modified>
</cp:coreProperties>
</file>