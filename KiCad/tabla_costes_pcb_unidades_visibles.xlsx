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dc71cc696143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stes" sheetId="1" r:id="R2273d743046748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 €"/>
    <x:numFmt numFmtId="201" formatCode="0.00"/>
    <x:numFmt numFmtId="202" formatCode="0.000"/>
  </x:numFmts>
  <x:fonts count="3">
    <x:font>
      <x:sz val="11"/>
      <x:name val="Carlito"/>
    </x:font>
    <x:font>
      <x:b/>
      <x:sz val="14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0">
    <x:border/>
    <x:border/>
    <x:border>
      <x:left>
        <x:color rgb="666666"/>
      </x:left>
      <x:right>
        <x:color rgb="999999"/>
      </x:right>
      <x:top>
        <x:color rgb="666666"/>
      </x:top>
      <x:bottom>
        <x:color rgb="999999"/>
      </x:bottom>
    </x:border>
    <x:border>
      <x:left>
        <x:color rgb="999999"/>
      </x:left>
      <x:right>
        <x:color rgb="999999"/>
      </x:right>
      <x:top>
        <x:color rgb="666666"/>
      </x:top>
      <x:bottom>
        <x:color rgb="999999"/>
      </x:bottom>
    </x:border>
    <x:border>
      <x:left>
        <x:color rgb="999999"/>
      </x:left>
      <x:right>
        <x:color rgb="666666"/>
      </x:right>
      <x:top>
        <x:color rgb="666666"/>
      </x:top>
      <x:bottom>
        <x:color rgb="999999"/>
      </x:bottom>
    </x:border>
    <x:border>
      <x:left>
        <x:color rgb="666666"/>
      </x:left>
      <x:right>
        <x:color rgb="999999"/>
      </x:right>
      <x:top>
        <x:color rgb="999999"/>
      </x:top>
      <x:bottom>
        <x:color rgb="999999"/>
      </x:bottom>
    </x:border>
    <x:border>
      <x:left>
        <x:color rgb="999999"/>
      </x:left>
      <x:right>
        <x:color rgb="999999"/>
      </x:right>
      <x:top>
        <x:color rgb="999999"/>
      </x:top>
      <x:bottom>
        <x:color rgb="999999"/>
      </x:bottom>
    </x:border>
    <x:border>
      <x:left>
        <x:color rgb="999999"/>
      </x:left>
      <x:right>
        <x:color rgb="666666"/>
      </x:right>
      <x:top>
        <x:color rgb="999999"/>
      </x:top>
      <x:bottom>
        <x:color rgb="999999"/>
      </x:bottom>
    </x:border>
    <x:border>
      <x:left>
        <x:color rgb="666666"/>
      </x:left>
      <x:right>
        <x:color rgb="999999"/>
      </x:right>
      <x:top>
        <x:color rgb="999999"/>
      </x:top>
      <x:bottom>
        <x:color rgb="666666"/>
      </x:bottom>
    </x:border>
    <x:border>
      <x:left>
        <x:color rgb="999999"/>
      </x:left>
      <x:right>
        <x:color rgb="999999"/>
      </x:right>
      <x:top>
        <x:color rgb="999999"/>
      </x:top>
      <x:bottom>
        <x:color rgb="666666"/>
      </x:bottom>
    </x:border>
    <x:border>
      <x:left>
        <x:color rgb="999999"/>
      </x:left>
      <x:right>
        <x:color rgb="666666"/>
      </x:right>
      <x:top>
        <x:color rgb="999999"/>
      </x:top>
      <x:bottom>
        <x:color rgb="666666"/>
      </x:bottom>
    </x:border>
    <x:border>
      <x:left>
        <x:color rgb="666666"/>
      </x:left>
      <x:right>
        <x:color rgb="999999"/>
      </x:right>
      <x:top>
        <x:color rgb="666666"/>
      </x:top>
      <x:bottom>
        <x:color rgb="999999"/>
      </x:bottom>
    </x:border>
    <x:border>
      <x:left>
        <x:color rgb="999999"/>
      </x:left>
      <x:right>
        <x:color rgb="999999"/>
      </x:right>
      <x:top>
        <x:color rgb="666666"/>
      </x:top>
      <x:bottom>
        <x:color rgb="999999"/>
      </x:bottom>
    </x:border>
    <x:border>
      <x:left>
        <x:color rgb="999999"/>
      </x:left>
      <x:right>
        <x:color rgb="666666"/>
      </x:right>
      <x:top>
        <x:color rgb="666666"/>
      </x:top>
      <x:bottom>
        <x:color rgb="999999"/>
      </x:bottom>
    </x:border>
    <x:border>
      <x:left>
        <x:color rgb="666666"/>
      </x:left>
      <x:right>
        <x:color rgb="999999"/>
      </x:right>
      <x:top>
        <x:color rgb="999999"/>
      </x:top>
      <x:bottom>
        <x:color rgb="999999"/>
      </x:bottom>
    </x:border>
    <x:border>
      <x:left>
        <x:color rgb="999999"/>
      </x:left>
      <x:right>
        <x:color rgb="999999"/>
      </x:right>
      <x:top>
        <x:color rgb="999999"/>
      </x:top>
      <x:bottom>
        <x:color rgb="999999"/>
      </x:bottom>
    </x:border>
    <x:border>
      <x:left>
        <x:color rgb="999999"/>
      </x:left>
      <x:right>
        <x:color rgb="666666"/>
      </x:right>
      <x:top>
        <x:color rgb="999999"/>
      </x:top>
      <x:bottom>
        <x:color rgb="999999"/>
      </x:bottom>
    </x:border>
    <x:border>
      <x:left>
        <x:color rgb="666666"/>
      </x:left>
      <x:right>
        <x:color rgb="999999"/>
      </x:right>
      <x:top>
        <x:color rgb="999999"/>
      </x:top>
      <x:bottom>
        <x:color rgb="666666"/>
      </x:bottom>
    </x:border>
    <x:border>
      <x:left>
        <x:color rgb="999999"/>
      </x:left>
      <x:right>
        <x:color rgb="999999"/>
      </x:right>
      <x:top>
        <x:color rgb="999999"/>
      </x:top>
      <x:bottom>
        <x:color rgb="666666"/>
      </x:bottom>
    </x:border>
    <x:border>
      <x:left>
        <x:color rgb="999999"/>
      </x:left>
      <x:right>
        <x:color rgb="666666"/>
      </x:right>
      <x:top>
        <x:color rgb="999999"/>
      </x:top>
      <x:bottom>
        <x:color rgb="666666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2" fillId="0" borderId="11" xfId="0" applyNumberFormat="1" applyFont="1" applyFill="1" applyBorder="1"/>
    <x:xf numFmtId="0" fontId="2" fillId="0" borderId="12" xfId="0" applyNumberFormat="1" applyFont="1" applyFill="1" applyBorder="1"/>
    <x:xf numFmtId="0" fontId="2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200" fontId="0" fillId="0" borderId="6" xfId="0" applyNumberFormat="1" applyFont="1" applyFill="1" applyBorder="1"/>
    <x:xf numFmtId="200" fontId="0" fillId="0" borderId="9" xfId="0" applyNumberFormat="1" applyFont="1" applyFill="1" applyBorder="1"/>
    <x:xf numFmtId="200" fontId="0" fillId="0" borderId="15" xfId="0" applyNumberFormat="1" applyFont="1" applyFill="1" applyBorder="1"/>
    <x:xf numFmtId="200" fontId="0" fillId="0" borderId="18" xfId="0" applyNumberFormat="1" applyFont="1" applyFill="1" applyBorder="1"/>
    <x:xf numFmtId="201" fontId="0" fillId="0" borderId="6" xfId="0" applyNumberFormat="1" applyFont="1" applyFill="1" applyBorder="1"/>
    <x:xf numFmtId="201" fontId="0" fillId="0" borderId="9" xfId="0" applyNumberFormat="1" applyFont="1" applyFill="1" applyBorder="1"/>
    <x:xf numFmtId="201" fontId="0" fillId="0" borderId="15" xfId="0" applyNumberFormat="1" applyFont="1" applyFill="1" applyBorder="1"/>
    <x:xf numFmtId="201" fontId="0" fillId="0" borderId="18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019f4f019e4093" /><Relationship Type="http://schemas.openxmlformats.org/officeDocument/2006/relationships/theme" Target="/xl/theme/theme1.xml" Id="R59752e0fca4e4320" /><Relationship Type="http://schemas.openxmlformats.org/officeDocument/2006/relationships/sharedStrings" Target="/xl/sharedStrings.xml" Id="R8f3c20bab14c4b75" /><Relationship Type="http://schemas.openxmlformats.org/officeDocument/2006/relationships/worksheet" Target="/xl/worksheets/sheet1.xml" Id="R2273d7430467483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1c2f71c9c1443ec" /><Relationship Type="http://schemas.openxmlformats.org/officeDocument/2006/relationships/chart" Target="/xl/drawings/charts/chart2.xml" Id="Rafc3b046cadb48bf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lineChart>
        <c:ser>
          <c:idx val="0"/>
          <c:order val="0"/>
          <c:tx>
            <c:v>Coste antiguo</c:v>
          </c:tx>
          <c:cat>
            <c:strRef>
              <c:f>'Costes'!$A$4:$A$7</c:f>
              <c:strCache>
                <c:ptCount val="0"/>
              </c:strCache>
            </c:strRef>
          </c:cat>
          <c:val>
            <c:numRef>
              <c:f>'Costes'!$B$4:$B$7</c:f>
              <c:numCache>
                <c:formatCode>0.00 €</c:formatCode>
                <c:ptCount val="0"/>
              </c:numCache>
            </c:numRef>
          </c:val>
          <c:smooth val="0"/>
        </c:ser>
        <c:ser>
          <c:idx val="1"/>
          <c:order val="1"/>
          <c:tx>
            <c:v>Coste corregido</c:v>
          </c:tx>
          <c:cat>
            <c:strRef>
              <c:f>'Costes'!$A$4:$A$7</c:f>
              <c:strCache>
                <c:ptCount val="0"/>
              </c:strCache>
            </c:strRef>
          </c:cat>
          <c:val>
            <c:numRef>
              <c:f>'Costes'!$C$4:$C$7</c:f>
              <c:numCache>
                <c:formatCode>0.00 €</c:formatCode>
                <c:ptCount val="0"/>
              </c:numCache>
            </c:numRef>
          </c:val>
          <c:smooth val="0"/>
        </c:ser>
        <c:ser>
          <c:idx val="2"/>
          <c:order val="2"/>
          <c:tx>
            <c:v>Regresion</c:v>
          </c:tx>
          <c:cat>
            <c:strRef>
              <c:f>'Costes'!$A$4:$A$7</c:f>
              <c:strCache>
                <c:ptCount val="0"/>
              </c:strCache>
            </c:strRef>
          </c:cat>
          <c:val>
            <c:numRef>
              <c:f>'Costes'!$E$4:$E$7</c:f>
              <c:numCache>
                <c:formatCode>0.00 €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overlay val="0"/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Unidades que se quieren comprar</a:t>
                </a:r>
              </a:p>
            </c:rich>
          </c:tx>
        </c:title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overlay val="0"/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Coste por PCB (€)</a:t>
                </a:r>
              </a:p>
            </c:rich>
          </c:tx>
        </c:title>
        <c:numFmt formatCode="0.00 €" sourceLinked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layout/>
      <c:scatterChart>
        <c:scatterStyle val="marker"/>
        <c:varyColors val="0"/>
        <c:ser>
          <c:idx val="0"/>
          <c:order val="0"/>
          <c:tx>
            <c:v>Coste corregido</c:v>
          </c:tx>
          <c:xVal>
            <c:numLit>
              <c:formatCode>General</c:formatCode>
              <c:ptCount val="0"/>
            </c:numLit>
          </c:xVal>
          <c:yVal>
            <c:numRef>
              <c:f>'Costes'!$C$4:$C$7</c:f>
              <c:numCache>
                <c:formatCode>0.00 €</c:formatCode>
                <c:ptCount val="0"/>
              </c:numCache>
            </c:numRef>
          </c:yVal>
        </c:ser>
        <c:ser>
          <c:idx val="1"/>
          <c:order val="1"/>
          <c:tx>
            <c:v>Regresion lineal</c:v>
          </c:tx>
          <c:xVal>
            <c:numLit>
              <c:formatCode>General</c:formatCode>
              <c:ptCount val="0"/>
            </c:numLit>
          </c:xVal>
          <c:yVal>
            <c:numRef>
              <c:f>'Costes'!$E$4:$E$7</c:f>
              <c:numCache>
                <c:formatCode>0.00 €</c:formatCode>
                <c:ptCount val="0"/>
              </c:numCache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numFmt formatCode="0.00 €" sourceLinked="0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majorTickMark val="none"/>
        <c:minorTickMark val="none"/>
        <c:crossAx val="48650112"/>
        <c:crosses val="autoZero"/>
      </c:valAx>
      <c:valAx>
        <c:axId val="48650112"/>
        <c:scaling>
          <c:orientation val="minMax"/>
        </c:scaling>
        <c:delete val="0"/>
        <c:axPos val="b"/>
        <c:numFmt formatCode="0.00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majorTickMark val="none"/>
        <c:minorTickMark val="none"/>
        <c:tickLblPos val="nextTo"/>
        <c:crossAx val="48672768"/>
        <c:crosses val="autoZero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5905500" cy="34290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1c2f71c9c1443ec"/>
        </a:graphicData>
      </a:graphic>
    </xdr:graphicFrame>
    <xdr:clientData/>
  </xdr:oneCellAnchor>
  <xdr:oneCellAnchor>
    <xdr:from>
      <xdr:col>7</xdr:col>
      <xdr:colOff>0</xdr:colOff>
      <xdr:row>20</xdr:row>
      <xdr:rowOff>0</xdr:rowOff>
    </xdr:from>
    <xdr:ext cx="5905500" cy="3238500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fc3b046cadb48bf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5f13d4a9f134a22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20" hidden="0" customWidth="1"/>
    <x:col min="4" max="4" width="14" hidden="0" customWidth="1"/>
    <x:col min="5" max="5" width="14" hidden="0" customWidth="1"/>
    <x:col min="6" max="6" width="28" hidden="0" customWidth="1"/>
  </x:cols>
  <x:sheetData>
    <x:row r="1">
      <x:c r="A1" s="2" t="str">
        <x:v>Estudio costes PCB - corrección rápida</x:v>
      </x:c>
      <x:c r="B1" s="2" t="str"/>
      <x:c r="C1" s="2" t="str"/>
      <x:c r="D1" s="2" t="str"/>
      <x:c r="E1" s="2" t="str"/>
      <x:c r="F1" s="2" t="str"/>
    </x:row>
    <x:row r="2">
      <x:c r="A2" t="str"/>
      <x:c r="B2" t="str"/>
      <x:c r="C2" t="str"/>
      <x:c r="D2" t="str"/>
      <x:c r="E2" t="str"/>
      <x:c r="F2" t="str"/>
    </x:row>
    <x:row r="3">
      <x:c r="A3" s="6" t="str">
        <x:v>Volumen (PCBs)</x:v>
      </x:c>
      <x:c r="B3" s="7" t="str">
        <x:v>Coste antiguo €/PCB</x:v>
      </x:c>
      <x:c r="C3" s="7" t="str">
        <x:v>Coste corregido €/PCB</x:v>
      </x:c>
      <x:c r="D3" s="7" t="str">
        <x:v>LOG10 volumen</x:v>
      </x:c>
      <x:c r="E3" s="7" t="str">
        <x:v>Regresión</x:v>
      </x:c>
      <x:c r="F3" s="8" t="str">
        <x:v>Nota</x:v>
      </x:c>
    </x:row>
    <x:row r="4">
      <x:c r="A4" s="9" t="n">
        <x:v>10</x:v>
      </x:c>
      <x:c r="B4" s="24" t="n">
        <x:v>73.31</x:v>
      </x:c>
      <x:c r="C4" s="24" t="n">
        <x:v>71.7</x:v>
      </x:c>
      <x:c r="D4" s="28" t="n">
        <x:f>LOG10(A4)</x:f>
        <x:v>1</x:v>
      </x:c>
      <x:c r="E4" s="28" t="n">
        <x:f>$B$9*D4+$B$10</x:f>
        <x:v>71.0819179045431</x:v>
      </x:c>
      <x:c r="F4" s="11" t="str">
        <x:v>prototipo / casi sin descuento</x:v>
      </x:c>
    </x:row>
    <x:row r="5">
      <x:c r="A5" s="9" t="n">
        <x:v>50</x:v>
      </x:c>
      <x:c r="B5" s="24" t="n">
        <x:v>68.95</x:v>
      </x:c>
      <x:c r="C5" s="24" t="n">
        <x:v>62.44</x:v>
      </x:c>
      <x:c r="D5" s="28" t="n">
        <x:f>LOG10(A5)</x:f>
        <x:v>1.69897000433602</x:v>
      </x:c>
      <x:c r="E5" s="28" t="n">
        <x:f>$B$9*D5+$B$10</x:f>
        <x:v>62.54776539644299</x:v>
      </x:c>
      <x:c r="F5" s="11" t="str">
        <x:v>ya baja un poco</x:v>
      </x:c>
    </x:row>
    <x:row r="6">
      <x:c r="A6" s="9" t="n">
        <x:v>1000</x:v>
      </x:c>
      <x:c r="B6" s="24" t="n">
        <x:v>67.28</x:v>
      </x:c>
      <x:c r="C6" s="24" t="n">
        <x:v>45.31</x:v>
      </x:c>
      <x:c r="D6" s="28" t="n">
        <x:f>LOG10(A6)</x:f>
        <x:v>3</x:v>
      </x:c>
      <x:c r="E6" s="28" t="n">
        <x:f>$B$9*D6+$B$10</x:f>
        <x:v>46.662694031818965</x:v>
      </x:c>
      <x:c r="F6" s="11" t="str">
        <x:v>producción media</x:v>
      </x:c>
    </x:row>
    <x:row r="7">
      <x:c r="A7" s="12" t="n">
        <x:v>20000</x:v>
      </x:c>
      <x:c r="B7" s="25" t="n">
        <x:v>67.04</x:v>
      </x:c>
      <x:c r="C7" s="25" t="n">
        <x:v>31.62</x:v>
      </x:c>
      <x:c r="D7" s="29" t="n">
        <x:f>LOG10(A7)</x:f>
        <x:v>4.30102999566398</x:v>
      </x:c>
      <x:c r="E7" s="29" t="n">
        <x:f>$B$9*D7+$B$10</x:f>
        <x:v>30.777622667194933</x:v>
      </x:c>
      <x:c r="F7" s="14" t="str">
        <x:v>producción grande</x:v>
      </x:c>
    </x:row>
    <x:row r="8">
      <x:c r="A8" t="str"/>
      <x:c r="B8" t="str"/>
      <x:c r="C8" t="str"/>
      <x:c r="D8" t="str"/>
      <x:c r="E8" t="str"/>
      <x:c r="F8" t="str"/>
    </x:row>
    <x:row r="9">
      <x:c r="A9" t="str">
        <x:v>Pendiente m</x:v>
      </x:c>
      <x:c r="B9" s="32" t="n">
        <x:f>SLOPE(C4:C7,D4:D7)</x:f>
        <x:v>-12.209611936362073</x:v>
      </x:c>
      <x:c r="C9" t="str"/>
      <x:c r="D9" t="str"/>
      <x:c r="E9" t="str"/>
      <x:c r="F9" t="str"/>
    </x:row>
    <x:row r="10">
      <x:c r="A10" t="str">
        <x:v>Intersección b</x:v>
      </x:c>
      <x:c r="B10" s="32" t="n">
        <x:f>INTERCEPT(C4:C7,D4:D7)</x:f>
        <x:v>83.29152984090518</x:v>
      </x:c>
      <x:c r="C10" t="str"/>
      <x:c r="D10" t="str"/>
      <x:c r="E10" t="str"/>
      <x:c r="F10" t="str"/>
    </x:row>
    <x:row r="11">
      <x:c r="A11" t="str">
        <x:v>R2</x:v>
      </x:c>
      <x:c r="B11" s="32" t="n">
        <x:f>RSQ(C4:C7,D4:D7)</x:f>
        <x:v>0.9969282216735268</x:v>
      </x:c>
      <x:c r="C11" t="str"/>
      <x:c r="D11" t="str"/>
      <x:c r="E11" t="str"/>
      <x:c r="F11" t="str"/>
    </x:row>
    <x:row r="12">
      <x:c r="A12" t="str"/>
      <x:c r="B12" t="str"/>
      <x:c r="C12" t="str"/>
      <x:c r="D12" t="str"/>
      <x:c r="E12" t="str"/>
      <x:c r="F12" t="str"/>
    </x:row>
    <x:row r="13" ht="36" customHeight="1">
      <x:c r="A13" s="34" t="str">
        <x:v>Explicación:</x:v>
      </x:c>
      <x:c r="B13" s="34" t="str">
        <x:v>La gráfica anterior podía confundir porque si el eje X está en logaritmo, las distancias entre 10, 50, 1000 y 20000 no son iguales. No desaparecen los valores, simplemente se separan según la escala logarítmica.</x:v>
      </x:c>
      <x:c r="C13" s="34" t="str"/>
      <x:c r="D13" s="34" t="str"/>
      <x:c r="E13" s="34" t="str"/>
      <x:c r="F13" s="34" t="str"/>
    </x:row>
    <x:row r="14" ht="36" customHeight="1">
      <x:c r="A14" s="34" t="str">
        <x:v>Ahora se añade otra gráfica con las unidades como categorías para que se vean claramente las cantidades que se quieren comprar.</x:v>
      </x:c>
      <x:c r="B14" s="34" t="str"/>
      <x:c r="C14" s="34" t="str"/>
      <x:c r="D14" s="34" t="str"/>
      <x:c r="E14" s="34" t="str"/>
      <x:c r="F14" s="34" t="str"/>
    </x:row>
    <x:row r="19" ht="30" customHeight="1">
      <x:c r="H19" s="34" t="str">
        <x:v>Importante: en la primera grafica el eje X es texto, por eso salen 10, 50, 1000 y 20000 como puntos separados.</x:v>
      </x:c>
    </x:row>
  </x:sheetData>
  <x:mergeCells>
    <x:mergeCell ref="H19:P19"/>
  </x:mergeCells>
  <x:pageMargins left="0.7" right="0.7" top="0.75" bottom="0.75" header="0.3" footer="0.3"/>
  <x:drawing xmlns:r="http://schemas.openxmlformats.org/officeDocument/2006/relationships" r:id="Re5f13d4a9f134a22"/>
</x:worksheet>
</file>